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ion" sheetId="1" state="visible" r:id="rId1"/>
    <sheet xmlns:r="http://schemas.openxmlformats.org/officeDocument/2006/relationships" name="Trust Profile" sheetId="2" state="visible" r:id="rId2"/>
    <sheet xmlns:r="http://schemas.openxmlformats.org/officeDocument/2006/relationships" name="Consumer Fit" sheetId="3" state="visible" r:id="rId3"/>
    <sheet xmlns:r="http://schemas.openxmlformats.org/officeDocument/2006/relationships" name="Formula" sheetId="4" state="visible" r:id="rId4"/>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20">
    <font>
      <name val="Calibri"/>
      <family val="2"/>
      <color theme="1"/>
      <sz val="11"/>
      <scheme val="minor"/>
    </font>
    <font>
      <name val="Georgia"/>
      <b val="1"/>
      <color rgb="000B1F3B"/>
      <sz val="18"/>
    </font>
    <font>
      <name val="Arial"/>
      <b val="1"/>
      <color rgb="00C5A862"/>
      <sz val="10"/>
    </font>
    <font>
      <name val="Arial"/>
      <color rgb="006F7478"/>
      <sz val="9"/>
    </font>
    <font>
      <name val="Arial"/>
      <b val="1"/>
      <color rgb="000B1F3B"/>
      <sz val="10"/>
    </font>
    <font>
      <name val="Arial"/>
      <color rgb="001F4E9E"/>
      <sz val="10"/>
    </font>
    <font>
      <name val="Arial"/>
      <b val="1"/>
      <color rgb="00FFFFFF"/>
      <sz val="10"/>
    </font>
    <font>
      <name val="Arial"/>
      <color rgb="002A2F3A"/>
      <sz val="10"/>
    </font>
    <font>
      <name val="Arial"/>
      <b val="1"/>
      <color rgb="001F4E9E"/>
      <sz val="10"/>
    </font>
    <font>
      <name val="Arial"/>
      <b val="1"/>
      <color rgb="00000000"/>
      <sz val="10"/>
    </font>
    <font>
      <name val="Arial"/>
      <b val="1"/>
      <color rgb="000B1F3B"/>
      <sz val="11"/>
    </font>
    <font>
      <name val="Arial"/>
      <b val="1"/>
      <color rgb="00000000"/>
      <sz val="12"/>
    </font>
    <font>
      <name val="Arial"/>
      <color rgb="002A2F3A"/>
      <sz val="9"/>
    </font>
    <font>
      <name val="Arial"/>
      <b val="1"/>
      <color rgb="00000000"/>
      <sz val="11"/>
    </font>
    <font>
      <name val="Arial"/>
      <i val="1"/>
      <color rgb="006F7478"/>
      <sz val="9"/>
    </font>
    <font>
      <name val="Arial"/>
      <color rgb="006F7478"/>
      <sz val="8"/>
    </font>
    <font>
      <name val="Georgia"/>
      <color rgb="0044535A"/>
      <sz val="11"/>
    </font>
    <font>
      <name val="Arial"/>
      <color rgb="001F4E9E"/>
      <sz val="9"/>
    </font>
    <font>
      <name val="Arial"/>
      <b val="1"/>
      <color rgb="000B1F3B"/>
      <sz val="9"/>
    </font>
    <font>
      <name val="Arial"/>
      <b val="1"/>
      <color rgb="00000000"/>
      <sz val="9"/>
    </font>
  </fonts>
  <fills count="5">
    <fill>
      <patternFill/>
    </fill>
    <fill>
      <patternFill patternType="gray125"/>
    </fill>
    <fill>
      <patternFill patternType="solid">
        <fgColor rgb="000B1F3B"/>
      </patternFill>
    </fill>
    <fill>
      <patternFill patternType="solid">
        <fgColor rgb="00FAFBFD"/>
      </patternFill>
    </fill>
    <fill>
      <patternFill patternType="solid">
        <fgColor rgb="00EEF2F7"/>
      </patternFill>
    </fill>
  </fills>
  <borders count="2">
    <border>
      <left/>
      <right/>
      <top/>
      <bottom/>
      <diagonal/>
    </border>
    <border>
      <left style="thin">
        <color rgb="00E1E7EE"/>
      </left>
      <right style="thin">
        <color rgb="00E1E7EE"/>
      </right>
      <top style="thin">
        <color rgb="00E1E7EE"/>
      </top>
      <bottom style="thin">
        <color rgb="00E1E7EE"/>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pivotButton="0" quotePrefix="0" xfId="0"/>
    <xf numFmtId="0" fontId="3" fillId="0" borderId="0" applyAlignment="1" pivotButton="0" quotePrefix="0" xfId="0">
      <alignment vertical="top" wrapText="1"/>
    </xf>
    <xf numFmtId="0" fontId="6" fillId="2" borderId="1" applyAlignment="1" pivotButton="0" quotePrefix="0" xfId="0">
      <alignment vertical="center" wrapText="1"/>
    </xf>
    <xf numFmtId="0" fontId="4" fillId="3" borderId="1" pivotButton="0" quotePrefix="0" xfId="0"/>
    <xf numFmtId="0" fontId="7" fillId="3" borderId="1" applyAlignment="1" pivotButton="0" quotePrefix="0" xfId="0">
      <alignment vertical="top" wrapText="1"/>
    </xf>
    <xf numFmtId="0" fontId="8" fillId="3" borderId="1" applyAlignment="1" pivotButton="0" quotePrefix="0" xfId="0">
      <alignment horizontal="center" vertical="center"/>
    </xf>
    <xf numFmtId="164" fontId="7" fillId="3" borderId="1" applyAlignment="1" pivotButton="0" quotePrefix="0" xfId="0">
      <alignment horizontal="center" vertical="center"/>
    </xf>
    <xf numFmtId="2" fontId="9" fillId="3" borderId="1" applyAlignment="1" pivotButton="0" quotePrefix="0" xfId="0">
      <alignment horizontal="center" vertical="center"/>
    </xf>
    <xf numFmtId="0" fontId="9" fillId="3" borderId="1" applyAlignment="1" pivotButton="0" quotePrefix="0" xfId="0">
      <alignment horizontal="center" vertical="center"/>
    </xf>
    <xf numFmtId="0" fontId="4" fillId="4" borderId="1" pivotButton="0" quotePrefix="0" xfId="0"/>
    <xf numFmtId="0" fontId="3" fillId="4" borderId="1" applyAlignment="1" pivotButton="0" quotePrefix="0" xfId="0">
      <alignment horizontal="right" vertical="center"/>
    </xf>
    <xf numFmtId="165" fontId="9" fillId="4" borderId="1" applyAlignment="1" pivotButton="0" quotePrefix="0" xfId="0">
      <alignment horizontal="center" vertical="center"/>
    </xf>
    <xf numFmtId="2" fontId="9" fillId="4" borderId="1" applyAlignment="1" pivotButton="0" quotePrefix="0" xfId="0">
      <alignment horizontal="center" vertical="center"/>
    </xf>
    <xf numFmtId="0" fontId="3" fillId="4" borderId="1" pivotButton="0" quotePrefix="0" xfId="0"/>
    <xf numFmtId="0" fontId="10" fillId="4" borderId="1" pivotButton="0" quotePrefix="0" xfId="0"/>
    <xf numFmtId="0" fontId="0" fillId="4" borderId="1" pivotButton="0" quotePrefix="0" xfId="0"/>
    <xf numFmtId="165" fontId="11" fillId="4" borderId="1" applyAlignment="1" pivotButton="0" quotePrefix="0" xfId="0">
      <alignment horizontal="center" vertical="center"/>
    </xf>
    <xf numFmtId="0" fontId="10" fillId="0" borderId="0" pivotButton="0" quotePrefix="0" xfId="0"/>
    <xf numFmtId="0" fontId="4" fillId="0" borderId="1" pivotButton="0" quotePrefix="0" xfId="0"/>
    <xf numFmtId="0" fontId="12" fillId="0" borderId="1" applyAlignment="1" pivotButton="0" quotePrefix="0" xfId="0">
      <alignment vertical="top" wrapText="1"/>
    </xf>
    <xf numFmtId="0" fontId="8"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horizontal="center" vertical="center"/>
    </xf>
    <xf numFmtId="0" fontId="9" fillId="0" borderId="1" pivotButton="0" quotePrefix="0" xfId="0"/>
    <xf numFmtId="0" fontId="13" fillId="0" borderId="1" pivotButton="0" quotePrefix="0" xfId="0"/>
    <xf numFmtId="0" fontId="12" fillId="0" borderId="0" applyAlignment="1" pivotButton="0" quotePrefix="0" xfId="0">
      <alignment vertical="top" wrapText="1"/>
    </xf>
    <xf numFmtId="0" fontId="14" fillId="0" borderId="0" pivotButton="0" quotePrefix="0" xfId="0"/>
    <xf numFmtId="0" fontId="15" fillId="0" borderId="0" pivotButton="0" quotePrefix="0" xfId="0"/>
    <xf numFmtId="0" fontId="16" fillId="0" borderId="0" pivotButton="0" quotePrefix="0" xfId="0"/>
    <xf numFmtId="0" fontId="9" fillId="0" borderId="0" pivotButton="0" quotePrefix="0" xfId="0"/>
    <xf numFmtId="165" fontId="11" fillId="0" borderId="0" pivotButton="0" quotePrefix="0" xfId="0"/>
    <xf numFmtId="9" fontId="0" fillId="3" borderId="1" pivotButton="0" quotePrefix="0" xfId="0"/>
    <xf numFmtId="165" fontId="9" fillId="3" borderId="1" pivotButton="0" quotePrefix="0" xfId="0"/>
    <xf numFmtId="0" fontId="9" fillId="3" borderId="1" pivotButton="0" quotePrefix="0" xfId="0"/>
    <xf numFmtId="0" fontId="3" fillId="3" borderId="1" pivotButton="0" quotePrefix="0" xfId="0"/>
    <xf numFmtId="0" fontId="6" fillId="2" borderId="0" pivotButton="0" quotePrefix="0" xfId="0"/>
    <xf numFmtId="0" fontId="6" fillId="2" borderId="0" applyAlignment="1" pivotButton="0" quotePrefix="0" xfId="0">
      <alignment vertical="center" wrapText="1"/>
    </xf>
    <xf numFmtId="0" fontId="17" fillId="0" borderId="0" applyAlignment="1" pivotButton="0" quotePrefix="0" xfId="0">
      <alignment vertical="top" wrapText="1"/>
    </xf>
    <xf numFmtId="0" fontId="18" fillId="0" borderId="0" pivotButton="0" quotePrefix="0" xfId="0"/>
    <xf numFmtId="165" fontId="9" fillId="0" borderId="1" pivotButton="0" quotePrefix="0" xfId="0"/>
    <xf numFmtId="0" fontId="19" fillId="0" borderId="1" applyAlignment="1" pivotButton="0" quotePrefix="0" xfId="0">
      <alignment horizontal="center" vertical="center"/>
    </xf>
    <xf numFmtId="0" fontId="13" fillId="4" borderId="1" applyAlignment="1" pivotButton="0" quotePrefix="0" xfId="0">
      <alignment horizontal="center" vertical="center"/>
    </xf>
    <xf numFmtId="0" fontId="7" fillId="0" borderId="0" pivotButton="0" quotePrefix="0" xfId="0"/>
  </cellXfs>
  <cellStyles count="1">
    <cellStyle name="Normal" xfId="0" builtinId="0" hidden="0"/>
  </cellStyles>
  <dxfs count="2">
    <dxf>
      <font>
        <b val="1"/>
        <color rgb="00D14545"/>
      </font>
    </dxf>
    <dxf>
      <font>
        <b val="1"/>
        <color rgb="001F8A4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G82"/>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64" customWidth="1" min="3" max="3"/>
    <col width="13" customWidth="1" min="4" max="4"/>
    <col width="10" customWidth="1" min="5" max="5"/>
    <col width="13" customWidth="1" min="6" max="6"/>
    <col width="16" customWidth="1" min="7" max="7"/>
  </cols>
  <sheetData>
    <row r="1" ht="28" customHeight="1">
      <c r="B1" s="1" t="inlineStr">
        <is>
          <t>Foundational Data Product™ Progressive Certification</t>
        </is>
      </c>
    </row>
    <row r="2">
      <c r="B2" s="2" t="inlineStr">
        <is>
          <t>Foundeon</t>
        </is>
      </c>
    </row>
    <row r="3">
      <c r="B3" s="3" t="inlineStr">
        <is>
          <t>© 2026 Anna Jibgashvili  |  Foundeon  |  www.foundeon.com  |  foundationaldataproducts.com</t>
        </is>
      </c>
    </row>
    <row r="5">
      <c r="B5" s="4" t="inlineStr">
        <is>
          <t>Product name</t>
        </is>
      </c>
      <c r="C5" s="5" t="n"/>
    </row>
    <row r="6">
      <c r="B6" s="4" t="inlineStr">
        <is>
          <t>Product ID</t>
        </is>
      </c>
      <c r="C6" s="5" t="n"/>
    </row>
    <row r="7">
      <c r="B7" s="4" t="inlineStr">
        <is>
          <t>Assessed by (role)</t>
        </is>
      </c>
      <c r="C7" s="5" t="n"/>
    </row>
    <row r="8">
      <c r="B8" s="4" t="inlineStr">
        <is>
          <t>Assessment date</t>
        </is>
      </c>
      <c r="C8" s="5" t="n"/>
    </row>
    <row r="10" ht="40" customHeight="1">
      <c r="B10" s="6" t="inlineStr">
        <is>
          <t>Instructions: Score each criterion from 0 to 100 against current evidence, not intent. 0 means no evidence; 100 means fully evidenced and monitored. Enter scores in the blue column. Weighted scores, dimension percentages, the certification percentage and the certification level calculate automatically. Complete the condition questions below the table.</t>
        </is>
      </c>
    </row>
    <row r="12" ht="22" customHeight="1">
      <c r="B12" s="7" t="inlineStr">
        <is>
          <t>Dimension</t>
        </is>
      </c>
      <c r="C12" s="7" t="inlineStr">
        <is>
          <t>Criterion</t>
        </is>
      </c>
      <c r="D12" s="7" t="inlineStr">
        <is>
          <t>Score (0-100)</t>
        </is>
      </c>
      <c r="E12" s="7" t="inlineStr">
        <is>
          <t>Weight</t>
        </is>
      </c>
      <c r="F12" s="7" t="inlineStr">
        <is>
          <t>Weighted Score</t>
        </is>
      </c>
      <c r="G12" s="7" t="inlineStr">
        <is>
          <t>Gap Analysis</t>
        </is>
      </c>
    </row>
    <row r="13" ht="34" customHeight="1">
      <c r="B13" s="8" t="inlineStr">
        <is>
          <t>Data Quality</t>
        </is>
      </c>
      <c r="C13" s="9" t="inlineStr">
        <is>
          <t>Critical data elements meet completeness and correctness targets at the source and in the product.</t>
        </is>
      </c>
      <c r="D13" s="10" t="n"/>
      <c r="E13" s="11" t="n">
        <v>0.05</v>
      </c>
      <c r="F13" s="12">
        <f>IF(ISBLANK(D13),"",D13*E13)</f>
        <v/>
      </c>
      <c r="G13" s="13">
        <f>IF(ISBLANK(D13),"",IF(D13&gt;=80,"Strong",IF(D13&gt;=60,"Building","Needs Work")))</f>
        <v/>
      </c>
    </row>
    <row r="14" ht="20" customHeight="1">
      <c r="B14" s="8" t="n"/>
      <c r="C14" s="9" t="inlineStr">
        <is>
          <t>Data arrives within each source's contracted refresh frequency.</t>
        </is>
      </c>
      <c r="D14" s="10" t="n"/>
      <c r="E14" s="11" t="n">
        <v>0.05</v>
      </c>
      <c r="F14" s="12">
        <f>IF(ISBLANK(D14),"",D14*E14)</f>
        <v/>
      </c>
      <c r="G14" s="13">
        <f>IF(ISBLANK(D14),"",IF(D14&gt;=80,"Strong",IF(D14&gt;=60,"Building","Needs Work")))</f>
        <v/>
      </c>
    </row>
    <row r="15" ht="34" customHeight="1">
      <c r="B15" s="8" t="n"/>
      <c r="C15" s="9" t="inlineStr">
        <is>
          <t>Duplicates and cross-source conflicts are identified and resolved against a declared authoritative source per attribute.</t>
        </is>
      </c>
      <c r="D15" s="10" t="n"/>
      <c r="E15" s="11" t="n">
        <v>0.05</v>
      </c>
      <c r="F15" s="12">
        <f>IF(ISBLANK(D15),"",D15*E15)</f>
        <v/>
      </c>
      <c r="G15" s="13">
        <f>IF(ISBLANK(D15),"",IF(D15&gt;=80,"Strong",IF(D15&gt;=60,"Building","Needs Work")))</f>
        <v/>
      </c>
    </row>
    <row r="16">
      <c r="B16" s="14" t="inlineStr">
        <is>
          <t>Data Quality subtotal</t>
        </is>
      </c>
      <c r="C16" s="15" t="inlineStr">
        <is>
          <t>Dimension percentage →</t>
        </is>
      </c>
      <c r="D16" s="16">
        <f>IF(COUNT(D13:D15)=0,"",SUM(F13:F15)/SUM(E13:E15))</f>
        <v/>
      </c>
      <c r="E16" s="17">
        <f>SUM(E13:E15)</f>
        <v/>
      </c>
      <c r="F16" s="17">
        <f>IF(COUNT(D13:D15)=0,"",SUM(F13:F15))</f>
        <v/>
      </c>
      <c r="G16" s="18">
        <f>IF(D16="","","of "&amp;TEXT(E16*100,"0")&amp;" points")</f>
        <v/>
      </c>
    </row>
    <row r="18" ht="20" customHeight="1">
      <c r="B18" s="8" t="inlineStr">
        <is>
          <t>Semantic Coherence</t>
        </is>
      </c>
      <c r="C18" s="9" t="inlineStr">
        <is>
          <t>Every critical data element carries an approved business definition.</t>
        </is>
      </c>
      <c r="D18" s="10" t="n"/>
      <c r="E18" s="11" t="n">
        <v>0.05</v>
      </c>
      <c r="F18" s="12">
        <f>IF(ISBLANK(D18),"",D18*E18)</f>
        <v/>
      </c>
      <c r="G18" s="13">
        <f>IF(ISBLANK(D18),"",IF(D18&gt;=80,"Strong",IF(D18&gt;=60,"Building","Needs Work")))</f>
        <v/>
      </c>
    </row>
    <row r="19" ht="34" customHeight="1">
      <c r="B19" s="8" t="n"/>
      <c r="C19" s="9" t="inlineStr">
        <is>
          <t>Definitions are reconciled with the enterprise-level meaning used by other products, with no open conflicts.</t>
        </is>
      </c>
      <c r="D19" s="10" t="n"/>
      <c r="E19" s="11" t="n">
        <v>0.05</v>
      </c>
      <c r="F19" s="12">
        <f>IF(ISBLANK(D19),"",D19*E19)</f>
        <v/>
      </c>
      <c r="G19" s="13">
        <f>IF(ISBLANK(D19),"",IF(D19&gt;=80,"Strong",IF(D19&gt;=60,"Building","Needs Work")))</f>
        <v/>
      </c>
    </row>
    <row r="20" ht="34" customHeight="1">
      <c r="B20" s="8" t="n"/>
      <c r="C20" s="9" t="inlineStr">
        <is>
          <t>Each concept resolves to a single column definition and name across the sources that feed the product.</t>
        </is>
      </c>
      <c r="D20" s="10" t="n"/>
      <c r="E20" s="11" t="n">
        <v>0.05</v>
      </c>
      <c r="F20" s="12">
        <f>IF(ISBLANK(D20),"",D20*E20)</f>
        <v/>
      </c>
      <c r="G20" s="13">
        <f>IF(ISBLANK(D20),"",IF(D20&gt;=80,"Strong",IF(D20&gt;=60,"Building","Needs Work")))</f>
        <v/>
      </c>
    </row>
    <row r="21">
      <c r="B21" s="14" t="inlineStr">
        <is>
          <t>Semantic Coherence subtotal</t>
        </is>
      </c>
      <c r="C21" s="15" t="inlineStr">
        <is>
          <t>Dimension percentage →</t>
        </is>
      </c>
      <c r="D21" s="16">
        <f>IF(COUNT(D18:D20)=0,"",SUM(F18:F20)/SUM(E18:E20))</f>
        <v/>
      </c>
      <c r="E21" s="17">
        <f>SUM(E18:E20)</f>
        <v/>
      </c>
      <c r="F21" s="17">
        <f>IF(COUNT(D18:D20)=0,"",SUM(F18:F20))</f>
        <v/>
      </c>
      <c r="G21" s="18">
        <f>IF(D21="","","of "&amp;TEXT(E21*100,"0")&amp;" points")</f>
        <v/>
      </c>
    </row>
    <row r="23" ht="34" customHeight="1">
      <c r="B23" s="8" t="inlineStr">
        <is>
          <t>Metadata Completeness</t>
        </is>
      </c>
      <c r="C23" s="9" t="inlineStr">
        <is>
          <t>The product contract states purpose, scope, ownership, permitted use and prohibited use.</t>
        </is>
      </c>
      <c r="D23" s="10" t="n"/>
      <c r="E23" s="11" t="n">
        <v>0.0334</v>
      </c>
      <c r="F23" s="12">
        <f>IF(ISBLANK(D23),"",D23*E23)</f>
        <v/>
      </c>
      <c r="G23" s="13">
        <f>IF(ISBLANK(D23),"",IF(D23&gt;=80,"Strong",IF(D23&gt;=60,"Building","Needs Work")))</f>
        <v/>
      </c>
    </row>
    <row r="24" ht="20" customHeight="1">
      <c r="B24" s="8" t="n"/>
      <c r="C24" s="9" t="inlineStr">
        <is>
          <t>Every field carries a description, data type and classification.</t>
        </is>
      </c>
      <c r="D24" s="10" t="n"/>
      <c r="E24" s="11" t="n">
        <v>0.0333</v>
      </c>
      <c r="F24" s="12">
        <f>IF(ISBLANK(D24),"",D24*E24)</f>
        <v/>
      </c>
      <c r="G24" s="13">
        <f>IF(ISBLANK(D24),"",IF(D24&gt;=80,"Strong",IF(D24&gt;=60,"Building","Needs Work")))</f>
        <v/>
      </c>
    </row>
    <row r="25" ht="20" customHeight="1">
      <c r="B25" s="8" t="n"/>
      <c r="C25" s="9" t="inlineStr">
        <is>
          <t>The product is registered in the enterprise catalog with its passport.</t>
        </is>
      </c>
      <c r="D25" s="10" t="n"/>
      <c r="E25" s="11" t="n">
        <v>0.0333</v>
      </c>
      <c r="F25" s="12">
        <f>IF(ISBLANK(D25),"",D25*E25)</f>
        <v/>
      </c>
      <c r="G25" s="13">
        <f>IF(ISBLANK(D25),"",IF(D25&gt;=80,"Strong",IF(D25&gt;=60,"Building","Needs Work")))</f>
        <v/>
      </c>
    </row>
    <row r="26">
      <c r="B26" s="14" t="inlineStr">
        <is>
          <t>Metadata Completeness subtotal</t>
        </is>
      </c>
      <c r="C26" s="15" t="inlineStr">
        <is>
          <t>Dimension percentage →</t>
        </is>
      </c>
      <c r="D26" s="16">
        <f>IF(COUNT(D23:D25)=0,"",SUM(F23:F25)/SUM(E23:E25))</f>
        <v/>
      </c>
      <c r="E26" s="17">
        <f>SUM(E23:E25)</f>
        <v/>
      </c>
      <c r="F26" s="17">
        <f>IF(COUNT(D23:D25)=0,"",SUM(F23:F25))</f>
        <v/>
      </c>
      <c r="G26" s="18">
        <f>IF(D26="","","of "&amp;TEXT(E26*100,"0")&amp;" points")</f>
        <v/>
      </c>
    </row>
    <row r="28" ht="20" customHeight="1">
      <c r="B28" s="8" t="inlineStr">
        <is>
          <t>Lineage Transparency</t>
        </is>
      </c>
      <c r="C28" s="9" t="inlineStr">
        <is>
          <t>The origin of every attribute is documented.</t>
        </is>
      </c>
      <c r="D28" s="10" t="n"/>
      <c r="E28" s="11" t="n">
        <v>0.05</v>
      </c>
      <c r="F28" s="12">
        <f>IF(ISBLANK(D28),"",D28*E28)</f>
        <v/>
      </c>
      <c r="G28" s="13">
        <f>IF(ISBLANK(D28),"",IF(D28&gt;=80,"Strong",IF(D28&gt;=60,"Building","Needs Work")))</f>
        <v/>
      </c>
    </row>
    <row r="29" ht="20" customHeight="1">
      <c r="B29" s="8" t="n"/>
      <c r="C29" s="9" t="inlineStr">
        <is>
          <t>Transformations from source to product are documented and versioned.</t>
        </is>
      </c>
      <c r="D29" s="10" t="n"/>
      <c r="E29" s="11" t="n">
        <v>0.05</v>
      </c>
      <c r="F29" s="12">
        <f>IF(ISBLANK(D29),"",D29*E29)</f>
        <v/>
      </c>
      <c r="G29" s="13">
        <f>IF(ISBLANK(D29),"",IF(D29&gt;=80,"Strong",IF(D29&gt;=60,"Building","Needs Work")))</f>
        <v/>
      </c>
    </row>
    <row r="30" ht="20" customHeight="1">
      <c r="B30" s="8" t="n"/>
      <c r="C30" s="9" t="inlineStr">
        <is>
          <t>Lineage is traceable through to consumption and has been audited.</t>
        </is>
      </c>
      <c r="D30" s="10" t="n"/>
      <c r="E30" s="11" t="n">
        <v>0.05</v>
      </c>
      <c r="F30" s="12">
        <f>IF(ISBLANK(D30),"",D30*E30)</f>
        <v/>
      </c>
      <c r="G30" s="13">
        <f>IF(ISBLANK(D30),"",IF(D30&gt;=80,"Strong",IF(D30&gt;=60,"Building","Needs Work")))</f>
        <v/>
      </c>
    </row>
    <row r="31">
      <c r="B31" s="14" t="inlineStr">
        <is>
          <t>Lineage Transparency subtotal</t>
        </is>
      </c>
      <c r="C31" s="15" t="inlineStr">
        <is>
          <t>Dimension percentage →</t>
        </is>
      </c>
      <c r="D31" s="16">
        <f>IF(COUNT(D28:D30)=0,"",SUM(F28:F30)/SUM(E28:E30))</f>
        <v/>
      </c>
      <c r="E31" s="17">
        <f>SUM(E28:E30)</f>
        <v/>
      </c>
      <c r="F31" s="17">
        <f>IF(COUNT(D28:D30)=0,"",SUM(F28:F30))</f>
        <v/>
      </c>
      <c r="G31" s="18">
        <f>IF(D31="","","of "&amp;TEXT(E31*100,"0")&amp;" points")</f>
        <v/>
      </c>
    </row>
    <row r="33" ht="20" customHeight="1">
      <c r="B33" s="8" t="inlineStr">
        <is>
          <t>Security and Compliance</t>
        </is>
      </c>
      <c r="C33" s="9" t="inlineStr">
        <is>
          <t>Access controls enforce the permitted uses stated in the contract.</t>
        </is>
      </c>
      <c r="D33" s="10" t="n"/>
      <c r="E33" s="11" t="n">
        <v>0.05</v>
      </c>
      <c r="F33" s="12">
        <f>IF(ISBLANK(D33),"",D33*E33)</f>
        <v/>
      </c>
      <c r="G33" s="13">
        <f>IF(ISBLANK(D33),"",IF(D33&gt;=80,"Strong",IF(D33&gt;=60,"Building","Needs Work")))</f>
        <v/>
      </c>
    </row>
    <row r="34" ht="20" customHeight="1">
      <c r="B34" s="8" t="n"/>
      <c r="C34" s="9" t="inlineStr">
        <is>
          <t>Sensitive data is masked, encrypted or minimized as policy requires.</t>
        </is>
      </c>
      <c r="D34" s="10" t="n"/>
      <c r="E34" s="11" t="n">
        <v>0.05</v>
      </c>
      <c r="F34" s="12">
        <f>IF(ISBLANK(D34),"",D34*E34)</f>
        <v/>
      </c>
      <c r="G34" s="13">
        <f>IF(ISBLANK(D34),"",IF(D34&gt;=80,"Strong",IF(D34&gt;=60,"Building","Needs Work")))</f>
        <v/>
      </c>
    </row>
    <row r="35" ht="34" customHeight="1">
      <c r="B35" s="8" t="n"/>
      <c r="C35" s="9" t="inlineStr">
        <is>
          <t>Applicable regulatory obligations are mapped to the product and evidenced.</t>
        </is>
      </c>
      <c r="D35" s="10" t="n"/>
      <c r="E35" s="11" t="n">
        <v>0.05</v>
      </c>
      <c r="F35" s="12">
        <f>IF(ISBLANK(D35),"",D35*E35)</f>
        <v/>
      </c>
      <c r="G35" s="13">
        <f>IF(ISBLANK(D35),"",IF(D35&gt;=80,"Strong",IF(D35&gt;=60,"Building","Needs Work")))</f>
        <v/>
      </c>
    </row>
    <row r="36">
      <c r="B36" s="14" t="inlineStr">
        <is>
          <t>Security and Compliance subtotal</t>
        </is>
      </c>
      <c r="C36" s="15" t="inlineStr">
        <is>
          <t>Dimension percentage →</t>
        </is>
      </c>
      <c r="D36" s="16">
        <f>IF(COUNT(D33:D35)=0,"",SUM(F33:F35)/SUM(E33:E35))</f>
        <v/>
      </c>
      <c r="E36" s="17">
        <f>SUM(E33:E35)</f>
        <v/>
      </c>
      <c r="F36" s="17">
        <f>IF(COUNT(D33:D35)=0,"",SUM(F33:F35))</f>
        <v/>
      </c>
      <c r="G36" s="18">
        <f>IF(D36="","","of "&amp;TEXT(E36*100,"0")&amp;" points")</f>
        <v/>
      </c>
    </row>
    <row r="38" ht="34" customHeight="1">
      <c r="B38" s="8" t="inlineStr">
        <is>
          <t>Governance</t>
        </is>
      </c>
      <c r="C38" s="9" t="inlineStr">
        <is>
          <t>A named owner and steward, held as roles, hold explicit decision rights over the product.</t>
        </is>
      </c>
      <c r="D38" s="10" t="n"/>
      <c r="E38" s="11" t="n">
        <v>0.0334</v>
      </c>
      <c r="F38" s="12">
        <f>IF(ISBLANK(D38),"",D38*E38)</f>
        <v/>
      </c>
      <c r="G38" s="13">
        <f>IF(ISBLANK(D38),"",IF(D38&gt;=80,"Strong",IF(D38&gt;=60,"Building","Needs Work")))</f>
        <v/>
      </c>
    </row>
    <row r="39" ht="34" customHeight="1">
      <c r="B39" s="8" t="n"/>
      <c r="C39" s="9" t="inlineStr">
        <is>
          <t>Changes to meaning, permitted use or authority follow approved change control, with each approval recorded.</t>
        </is>
      </c>
      <c r="D39" s="10" t="n"/>
      <c r="E39" s="11" t="n">
        <v>0.0333</v>
      </c>
      <c r="F39" s="12">
        <f>IF(ISBLANK(D39),"",D39*E39)</f>
        <v/>
      </c>
      <c r="G39" s="13">
        <f>IF(ISBLANK(D39),"",IF(D39&gt;=80,"Strong",IF(D39&gt;=60,"Building","Needs Work")))</f>
        <v/>
      </c>
    </row>
    <row r="40" ht="20" customHeight="1">
      <c r="B40" s="8" t="n"/>
      <c r="C40" s="9" t="inlineStr">
        <is>
          <t>Incident and escalation paths are defined and have been tested.</t>
        </is>
      </c>
      <c r="D40" s="10" t="n"/>
      <c r="E40" s="11" t="n">
        <v>0.0333</v>
      </c>
      <c r="F40" s="12">
        <f>IF(ISBLANK(D40),"",D40*E40)</f>
        <v/>
      </c>
      <c r="G40" s="13">
        <f>IF(ISBLANK(D40),"",IF(D40&gt;=80,"Strong",IF(D40&gt;=60,"Building","Needs Work")))</f>
        <v/>
      </c>
    </row>
    <row r="41">
      <c r="B41" s="14" t="inlineStr">
        <is>
          <t>Governance subtotal</t>
        </is>
      </c>
      <c r="C41" s="15" t="inlineStr">
        <is>
          <t>Dimension percentage →</t>
        </is>
      </c>
      <c r="D41" s="16">
        <f>IF(COUNT(D38:D40)=0,"",SUM(F38:F40)/SUM(E38:E40))</f>
        <v/>
      </c>
      <c r="E41" s="17">
        <f>SUM(E38:E40)</f>
        <v/>
      </c>
      <c r="F41" s="17">
        <f>IF(COUNT(D38:D40)=0,"",SUM(F38:F40))</f>
        <v/>
      </c>
      <c r="G41" s="18">
        <f>IF(D41="","","of "&amp;TEXT(E41*100,"0")&amp;" points")</f>
        <v/>
      </c>
    </row>
    <row r="43" ht="20" customHeight="1">
      <c r="B43" s="8" t="inlineStr">
        <is>
          <t>Performance</t>
        </is>
      </c>
      <c r="C43" s="9" t="inlineStr">
        <is>
          <t>Freshness and latency meet the service levels in the contract.</t>
        </is>
      </c>
      <c r="D43" s="10" t="n"/>
      <c r="E43" s="11" t="n">
        <v>0.0267</v>
      </c>
      <c r="F43" s="12">
        <f>IF(ISBLANK(D43),"",D43*E43)</f>
        <v/>
      </c>
      <c r="G43" s="13">
        <f>IF(ISBLANK(D43),"",IF(D43&gt;=80,"Strong",IF(D43&gt;=60,"Building","Needs Work")))</f>
        <v/>
      </c>
    </row>
    <row r="44" ht="20" customHeight="1">
      <c r="B44" s="8" t="n"/>
      <c r="C44" s="9" t="inlineStr">
        <is>
          <t>Availability meets its target.</t>
        </is>
      </c>
      <c r="D44" s="10" t="n"/>
      <c r="E44" s="11" t="n">
        <v>0.0267</v>
      </c>
      <c r="F44" s="12">
        <f>IF(ISBLANK(D44),"",D44*E44)</f>
        <v/>
      </c>
      <c r="G44" s="13">
        <f>IF(ISBLANK(D44),"",IF(D44&gt;=80,"Strong",IF(D44&gt;=60,"Building","Needs Work")))</f>
        <v/>
      </c>
    </row>
    <row r="45" ht="34" customHeight="1">
      <c r="B45" s="8" t="n"/>
      <c r="C45" s="9" t="inlineStr">
        <is>
          <t>Monitoring and alerting cover failures, quality breaches and service-level breaches.</t>
        </is>
      </c>
      <c r="D45" s="10" t="n"/>
      <c r="E45" s="11" t="n">
        <v>0.0266</v>
      </c>
      <c r="F45" s="12">
        <f>IF(ISBLANK(D45),"",D45*E45)</f>
        <v/>
      </c>
      <c r="G45" s="13">
        <f>IF(ISBLANK(D45),"",IF(D45&gt;=80,"Strong",IF(D45&gt;=60,"Building","Needs Work")))</f>
        <v/>
      </c>
    </row>
    <row r="46">
      <c r="B46" s="14" t="inlineStr">
        <is>
          <t>Performance subtotal</t>
        </is>
      </c>
      <c r="C46" s="15" t="inlineStr">
        <is>
          <t>Dimension percentage →</t>
        </is>
      </c>
      <c r="D46" s="16">
        <f>IF(COUNT(D43:D45)=0,"",SUM(F43:F45)/SUM(E43:E45))</f>
        <v/>
      </c>
      <c r="E46" s="17">
        <f>SUM(E43:E45)</f>
        <v/>
      </c>
      <c r="F46" s="17">
        <f>IF(COUNT(D43:D45)=0,"",SUM(F43:F45))</f>
        <v/>
      </c>
      <c r="G46" s="18">
        <f>IF(D46="","","of "&amp;TEXT(E46*100,"0")&amp;" points")</f>
        <v/>
      </c>
    </row>
    <row r="48" ht="20" customHeight="1">
      <c r="B48" s="8" t="inlineStr">
        <is>
          <t>Accessibility and Interoperability</t>
        </is>
      </c>
      <c r="C48" s="9" t="inlineStr">
        <is>
          <t>Governed access methods are documented and tested.</t>
        </is>
      </c>
      <c r="D48" s="10" t="n"/>
      <c r="E48" s="11" t="n">
        <v>0.04</v>
      </c>
      <c r="F48" s="12">
        <f>IF(ISBLANK(D48),"",D48*E48)</f>
        <v/>
      </c>
      <c r="G48" s="13">
        <f>IF(ISBLANK(D48),"",IF(D48&gt;=80,"Strong",IF(D48&gt;=60,"Building","Needs Work")))</f>
        <v/>
      </c>
    </row>
    <row r="49" ht="34" customHeight="1">
      <c r="B49" s="8" t="n"/>
      <c r="C49" s="9" t="inlineStr">
        <is>
          <t>People and systems, including AI agents, can consume the product through a machine-readable contract and standard interfaces.</t>
        </is>
      </c>
      <c r="D49" s="10" t="n"/>
      <c r="E49" s="11" t="n">
        <v>0.04</v>
      </c>
      <c r="F49" s="12">
        <f>IF(ISBLANK(D49),"",D49*E49)</f>
        <v/>
      </c>
      <c r="G49" s="13">
        <f>IF(ISBLANK(D49),"",IF(D49&gt;=80,"Strong",IF(D49&gt;=60,"Building","Needs Work")))</f>
        <v/>
      </c>
    </row>
    <row r="50" ht="34" customHeight="1">
      <c r="B50" s="8" t="n"/>
      <c r="C50" s="9" t="inlineStr">
        <is>
          <t>The product joins to other Foundational Data Products™ through shared, governed identifiers.</t>
        </is>
      </c>
      <c r="D50" s="10" t="n"/>
      <c r="E50" s="11" t="n">
        <v>0.04</v>
      </c>
      <c r="F50" s="12">
        <f>IF(ISBLANK(D50),"",D50*E50)</f>
        <v/>
      </c>
      <c r="G50" s="13">
        <f>IF(ISBLANK(D50),"",IF(D50&gt;=80,"Strong",IF(D50&gt;=60,"Building","Needs Work")))</f>
        <v/>
      </c>
    </row>
    <row r="51">
      <c r="B51" s="14" t="inlineStr">
        <is>
          <t>Accessibility and Interoperability subtotal</t>
        </is>
      </c>
      <c r="C51" s="15" t="inlineStr">
        <is>
          <t>Dimension percentage →</t>
        </is>
      </c>
      <c r="D51" s="16">
        <f>IF(COUNT(D48:D50)=0,"",SUM(F48:F50)/SUM(E48:E50))</f>
        <v/>
      </c>
      <c r="E51" s="17">
        <f>SUM(E48:E50)</f>
        <v/>
      </c>
      <c r="F51" s="17">
        <f>IF(COUNT(D48:D50)=0,"",SUM(F48:F50))</f>
        <v/>
      </c>
      <c r="G51" s="18">
        <f>IF(D51="","","of "&amp;TEXT(E51*100,"0")&amp;" points")</f>
        <v/>
      </c>
    </row>
    <row r="53" ht="22" customHeight="1">
      <c r="B53" s="19" t="inlineStr">
        <is>
          <t>CERTIFICATION PERCENTAGE</t>
        </is>
      </c>
      <c r="C53" s="18">
        <f>(COUNT(D13:D15)+COUNT(D18:D20)+COUNT(D23:D25)+COUNT(D28:D30)+COUNT(D33:D35)+COUNT(D38:D40)+COUNT(D43:D45)+COUNT(D48:D50))&amp;" of 24 criteria scored"</f>
        <v/>
      </c>
      <c r="D53" s="20" t="n"/>
      <c r="E53" s="20" t="n"/>
      <c r="F53" s="21">
        <f>IF((COUNT(D13:D15)+COUNT(D18:D20)+COUNT(D23:D25)+COUNT(D28:D30)+COUNT(D33:D35)+COUNT(D38:D40)+COUNT(D43:D45)+COUNT(D48:D50))=0,"",N(F16)+N(F21)+N(F26)+N(F31)+N(F36)+N(F41)+N(F46)+N(F51))</f>
        <v/>
      </c>
      <c r="G53" s="20" t="n"/>
    </row>
    <row r="55">
      <c r="B55" s="22" t="inlineStr">
        <is>
          <t>CERTIFICATION CONDITIONS</t>
        </is>
      </c>
    </row>
    <row r="56" ht="30" customHeight="1">
      <c r="B56" s="23" t="inlineStr">
        <is>
          <t>Tier 1 checks complete</t>
        </is>
      </c>
      <c r="C56" s="24" t="inlineStr">
        <is>
          <t>Source data validated: completeness, correctness, clarity (lineage) and timeliness against each source's contracted refresh.</t>
        </is>
      </c>
      <c r="D56" s="25" t="n"/>
    </row>
    <row r="57" ht="30" customHeight="1">
      <c r="B57" s="23" t="inlineStr">
        <is>
          <t>Tier 2 checks complete</t>
        </is>
      </c>
      <c r="C57" s="24" t="inlineStr">
        <is>
          <t>Clean and ready to consume: fields formatted, columns reconciled to single definitions and names, full data preserved, loaded into the data model.</t>
        </is>
      </c>
      <c r="D57" s="25" t="n"/>
    </row>
    <row r="58" ht="30" customHeight="1">
      <c r="B58" s="23" t="inlineStr">
        <is>
          <t>Three-owner sign-off complete</t>
        </is>
      </c>
      <c r="C58" s="24" t="inlineStr">
        <is>
          <t>Business owner, product owner and data owner have signed off that the product meets the domain's requirements, with business rules applied.</t>
        </is>
      </c>
      <c r="D58" s="25" t="n"/>
    </row>
    <row r="59" ht="30" customHeight="1">
      <c r="B59" s="23" t="inlineStr">
        <is>
          <t>Portability condition met</t>
        </is>
      </c>
      <c r="C59" s="24" t="inlineStr">
        <is>
          <t>The contract, semantic definitions, certification record and passport exist in enterprise-owned form and export without loss of meaning.</t>
        </is>
      </c>
      <c r="D59" s="25" t="n"/>
    </row>
    <row r="61">
      <c r="B61" s="22" t="inlineStr">
        <is>
          <t>DIMENSION FLOORS</t>
        </is>
      </c>
    </row>
    <row r="62">
      <c r="B62" s="7" t="inlineStr">
        <is>
          <t>Rule</t>
        </is>
      </c>
      <c r="C62" s="7" t="inlineStr">
        <is>
          <t>Applies to</t>
        </is>
      </c>
      <c r="D62" s="7" t="inlineStr">
        <is>
          <t>Required</t>
        </is>
      </c>
      <c r="E62" s="7" t="inlineStr">
        <is>
          <t>Status</t>
        </is>
      </c>
    </row>
    <row r="63">
      <c r="B63" s="23" t="inlineStr">
        <is>
          <t>Security and Compliance</t>
        </is>
      </c>
      <c r="C63" s="26" t="inlineStr">
        <is>
          <t>Silver</t>
        </is>
      </c>
      <c r="D63" s="27" t="n">
        <v>60</v>
      </c>
      <c r="E63" s="28">
        <f>IF(D36="","",IF(D36&gt;=60,"Met","Not met"))</f>
        <v/>
      </c>
    </row>
    <row r="64">
      <c r="B64" s="23" t="inlineStr">
        <is>
          <t>Security and Compliance</t>
        </is>
      </c>
      <c r="C64" s="26" t="inlineStr">
        <is>
          <t>Gold</t>
        </is>
      </c>
      <c r="D64" s="27" t="n">
        <v>80</v>
      </c>
      <c r="E64" s="28">
        <f>IF(D36="","",IF(D36&gt;=80,"Met","Not met"))</f>
        <v/>
      </c>
    </row>
    <row r="65">
      <c r="B65" s="23" t="inlineStr">
        <is>
          <t>Lineage Transparency</t>
        </is>
      </c>
      <c r="C65" s="26" t="inlineStr">
        <is>
          <t>Gold</t>
        </is>
      </c>
      <c r="D65" s="27" t="n">
        <v>70</v>
      </c>
      <c r="E65" s="28">
        <f>IF(D31="","",IF(D31&gt;=70,"Met","Not met"))</f>
        <v/>
      </c>
    </row>
    <row r="66">
      <c r="B66" s="23" t="inlineStr">
        <is>
          <t>Governance</t>
        </is>
      </c>
      <c r="C66" s="26" t="inlineStr">
        <is>
          <t>Gold</t>
        </is>
      </c>
      <c r="D66" s="27" t="n">
        <v>70</v>
      </c>
      <c r="E66" s="28">
        <f>IF(D41="","",IF(D41&gt;=70,"Met","Not met"))</f>
        <v/>
      </c>
    </row>
    <row r="67">
      <c r="B67" s="23" t="inlineStr">
        <is>
          <t>Semantic Coherence</t>
        </is>
      </c>
      <c r="C67" s="26" t="inlineStr">
        <is>
          <t>Gold</t>
        </is>
      </c>
      <c r="D67" s="27" t="n">
        <v>70</v>
      </c>
      <c r="E67" s="28">
        <f>IF(D21="","",IF(D21&gt;=70,"Met","Not met"))</f>
        <v/>
      </c>
    </row>
    <row r="69">
      <c r="B69" s="22" t="inlineStr">
        <is>
          <t>RESULT</t>
        </is>
      </c>
    </row>
    <row r="70">
      <c r="B70" s="23" t="inlineStr">
        <is>
          <t>Score band</t>
        </is>
      </c>
      <c r="C70" s="29">
        <f>IF(F53="","",IF(F53&gt;=80,"Gold band (80-100)",IF(F53&gt;=60,"Silver band (60-79)",IF(F53&gt;=40,"Bronze band (40-59)","Registered (0-39)"))))</f>
        <v/>
      </c>
    </row>
    <row r="71">
      <c r="B71" s="23" t="inlineStr">
        <is>
          <t>Certification level</t>
        </is>
      </c>
      <c r="C71" s="29">
        <f>IF(F53="","",IF(AND(F53&gt;=80,D36&gt;=80,D31&gt;=70,D41&gt;=70,D21&gt;=70,D56="Yes",D57="Yes",D58="Yes",D59="Yes"),"Gold",IF(AND(F53&gt;=60,D36&gt;=60,D56="Yes",D57="Yes"),"Silver",IF(AND(F53&gt;=40,D56="Yes"),"Bronze","Registered"))))</f>
        <v/>
      </c>
    </row>
    <row r="72">
      <c r="B72" s="23" t="inlineStr">
        <is>
          <t>Certification seal</t>
        </is>
      </c>
      <c r="C72" s="29">
        <f>IF(F53="","",IF(AND(F53&gt;=80,D36&gt;=80,D31&gt;=70,D41&gt;=70,D21&gt;=70,D56="Yes",D57="Yes",D58="Yes",D59="Yes"),"Active: certified at Gold","Not yet active: trust profile visible by dimension"))</f>
        <v/>
      </c>
    </row>
    <row r="74">
      <c r="B74" s="22" t="inlineStr">
        <is>
          <t>CERTIFICATION LEVELS</t>
        </is>
      </c>
    </row>
    <row r="75" ht="30" customHeight="1">
      <c r="B75" s="4" t="inlineStr">
        <is>
          <t>Gold  ·  seal active</t>
        </is>
      </c>
      <c r="C75" s="30" t="inlineStr">
        <is>
          <t>Certification percentage 80 to 100, all Tier 1 and Tier 2 checks complete, three-owner sign-off, every dimension floor met, portability condition met. The product is ready to carry cross-domain dependencies, regulatory reporting and AI at enterprise scale.</t>
        </is>
      </c>
    </row>
    <row r="76" ht="30" customHeight="1">
      <c r="B76" s="4" t="inlineStr">
        <is>
          <t>Silver</t>
        </is>
      </c>
      <c r="C76" s="30" t="inlineStr">
        <is>
          <t>Certification percentage 60 or above, Tier 1 and Tier 2 checks complete, Security and Compliance at 60 or above. Clean and ready to consume; use it wherever its dimension profile meets the consumer's need.</t>
        </is>
      </c>
    </row>
    <row r="77" ht="30" customHeight="1">
      <c r="B77" s="4" t="inlineStr">
        <is>
          <t>Bronze</t>
        </is>
      </c>
      <c r="C77" s="30" t="inlineStr">
        <is>
          <t>Certification percentage 40 or above, Tier 1 checks complete. Source data validated; trust is building.</t>
        </is>
      </c>
    </row>
    <row r="78" ht="30" customHeight="1">
      <c r="B78" s="4" t="inlineStr">
        <is>
          <t>Registered</t>
        </is>
      </c>
      <c r="C78" s="30" t="inlineStr">
        <is>
          <t>Below 40, or Tier 1 checks not yet complete. The product is in the catalog with its passport and a visible trust profile.</t>
        </is>
      </c>
    </row>
    <row r="80">
      <c r="B80" s="31" t="inlineStr">
        <is>
          <t>Read the dimension percentages first. A product below Gold stays usable wherever its weaker dimensions do not touch the consumer's purpose. See the Trust Profile and Consumer Fit tabs.</t>
        </is>
      </c>
    </row>
    <row r="82">
      <c r="B82" s="32" t="inlineStr">
        <is>
          <t>© 2026 Anna Jibgashvili  |  Foundeon  |  www.foundeon.com  |  foundationaldataproducts.com  |  Licensed under CC BY-NC-ND 4.0</t>
        </is>
      </c>
    </row>
  </sheetData>
  <mergeCells count="5">
    <mergeCell ref="B10:G10"/>
    <mergeCell ref="C77:G77"/>
    <mergeCell ref="C76:G76"/>
    <mergeCell ref="C75:G75"/>
    <mergeCell ref="C78:G78"/>
  </mergeCells>
  <dataValidations count="2">
    <dataValidation sqref="D13 D14 D15 D18 D19 D20 D23 D24 D25 D28 D29 D30 D33 D34 D35 D38 D39 D40 D43 D44 D45 D48 D49 D50" showDropDown="0" showInputMessage="0" showErrorMessage="0" allowBlank="1" error="Enter a score from 0 to 100." type="decimal" operator="between">
      <formula1>0</formula1>
      <formula2>100</formula2>
    </dataValidation>
    <dataValidation sqref="D56 D57 D58 D59"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1:F22"/>
  <sheetViews>
    <sheetView showGridLines="0" workbookViewId="0">
      <selection activeCell="A1" sqref="A1"/>
    </sheetView>
  </sheetViews>
  <sheetFormatPr baseColWidth="8" defaultRowHeight="15"/>
  <cols>
    <col width="2" customWidth="1" min="1" max="1"/>
    <col width="34" customWidth="1" min="2" max="2"/>
    <col width="10" customWidth="1" min="3" max="3"/>
    <col width="16" customWidth="1" min="4" max="4"/>
    <col width="30" customWidth="1" min="5" max="5"/>
    <col width="14" customWidth="1" min="6" max="6"/>
  </cols>
  <sheetData>
    <row r="1">
      <c r="B1" s="1" t="inlineStr">
        <is>
          <t>Trust Profile</t>
        </is>
      </c>
    </row>
    <row r="2">
      <c r="B2" s="33" t="inlineStr">
        <is>
          <t>What a consumer or agent sees when it opens the product's passport.</t>
        </is>
      </c>
    </row>
    <row r="3">
      <c r="B3" s="3" t="inlineStr">
        <is>
          <t>© 2026 Anna Jibgashvili  |  Foundeon  |  www.foundeon.com  |  foundationaldataproducts.com</t>
        </is>
      </c>
    </row>
    <row r="5">
      <c r="B5" s="4" t="inlineStr">
        <is>
          <t>Product</t>
        </is>
      </c>
      <c r="C5" s="34">
        <f>Certification!C5</f>
        <v/>
      </c>
    </row>
    <row r="6">
      <c r="B6" s="4" t="inlineStr">
        <is>
          <t>Certification percentage</t>
        </is>
      </c>
      <c r="C6" s="35">
        <f>Certification!F53</f>
        <v/>
      </c>
    </row>
    <row r="7">
      <c r="B7" s="4" t="inlineStr">
        <is>
          <t>Certification level</t>
        </is>
      </c>
      <c r="C7" s="34">
        <f>Certification!C71</f>
        <v/>
      </c>
    </row>
    <row r="8">
      <c r="B8" s="4" t="inlineStr">
        <is>
          <t>Certification seal</t>
        </is>
      </c>
      <c r="C8" s="34">
        <f>Certification!C72</f>
        <v/>
      </c>
    </row>
    <row r="10">
      <c r="B10" s="7" t="inlineStr">
        <is>
          <t>Dimension</t>
        </is>
      </c>
      <c r="C10" s="7" t="inlineStr">
        <is>
          <t>Weight</t>
        </is>
      </c>
      <c r="D10" s="7" t="inlineStr">
        <is>
          <t>Dimension %</t>
        </is>
      </c>
      <c r="E10" s="7" t="inlineStr">
        <is>
          <t>Trust signal</t>
        </is>
      </c>
      <c r="F10" s="7" t="inlineStr">
        <is>
          <t>Floor</t>
        </is>
      </c>
    </row>
    <row r="11">
      <c r="B11" s="8" t="inlineStr">
        <is>
          <t>Data Quality</t>
        </is>
      </c>
      <c r="C11" s="36" t="n">
        <v>0.15</v>
      </c>
      <c r="D11" s="37">
        <f>Certification!D16</f>
        <v/>
      </c>
      <c r="E11" s="38">
        <f>IF(D11="","",IF(D11&gt;=80,"Strong",IF(D11&gt;=60,"Building","Needs work")))</f>
        <v/>
      </c>
      <c r="F11" s="39" t="inlineStr">
        <is>
          <t>None</t>
        </is>
      </c>
    </row>
    <row r="12">
      <c r="B12" s="8" t="inlineStr">
        <is>
          <t>Semantic Coherence</t>
        </is>
      </c>
      <c r="C12" s="36" t="n">
        <v>0.15</v>
      </c>
      <c r="D12" s="37">
        <f>Certification!D21</f>
        <v/>
      </c>
      <c r="E12" s="38">
        <f>IF(D12="","",IF(D12&gt;=80,"Strong",IF(D12&gt;=60,"Building","Needs work")))</f>
        <v/>
      </c>
      <c r="F12" s="39" t="inlineStr">
        <is>
          <t>70 Gold</t>
        </is>
      </c>
    </row>
    <row r="13">
      <c r="B13" s="8" t="inlineStr">
        <is>
          <t>Metadata Completeness</t>
        </is>
      </c>
      <c r="C13" s="36" t="n">
        <v>0.1</v>
      </c>
      <c r="D13" s="37">
        <f>Certification!D26</f>
        <v/>
      </c>
      <c r="E13" s="38">
        <f>IF(D13="","",IF(D13&gt;=80,"Strong",IF(D13&gt;=60,"Building","Needs work")))</f>
        <v/>
      </c>
      <c r="F13" s="39" t="inlineStr">
        <is>
          <t>None</t>
        </is>
      </c>
    </row>
    <row r="14">
      <c r="B14" s="8" t="inlineStr">
        <is>
          <t>Lineage Transparency</t>
        </is>
      </c>
      <c r="C14" s="36" t="n">
        <v>0.15</v>
      </c>
      <c r="D14" s="37">
        <f>Certification!D31</f>
        <v/>
      </c>
      <c r="E14" s="38">
        <f>IF(D14="","",IF(D14&gt;=80,"Strong",IF(D14&gt;=60,"Building","Needs work")))</f>
        <v/>
      </c>
      <c r="F14" s="39" t="inlineStr">
        <is>
          <t>70 Gold</t>
        </is>
      </c>
    </row>
    <row r="15">
      <c r="B15" s="8" t="inlineStr">
        <is>
          <t>Security and Compliance</t>
        </is>
      </c>
      <c r="C15" s="36" t="n">
        <v>0.15</v>
      </c>
      <c r="D15" s="37">
        <f>Certification!D36</f>
        <v/>
      </c>
      <c r="E15" s="38">
        <f>IF(D15="","",IF(D15&gt;=80,"Strong",IF(D15&gt;=60,"Building","Needs work")))</f>
        <v/>
      </c>
      <c r="F15" s="39" t="inlineStr">
        <is>
          <t>60 Silver · 80 Gold</t>
        </is>
      </c>
    </row>
    <row r="16">
      <c r="B16" s="8" t="inlineStr">
        <is>
          <t>Governance</t>
        </is>
      </c>
      <c r="C16" s="36" t="n">
        <v>0.1</v>
      </c>
      <c r="D16" s="37">
        <f>Certification!D41</f>
        <v/>
      </c>
      <c r="E16" s="38">
        <f>IF(D16="","",IF(D16&gt;=80,"Strong",IF(D16&gt;=60,"Building","Needs work")))</f>
        <v/>
      </c>
      <c r="F16" s="39" t="inlineStr">
        <is>
          <t>70 Gold</t>
        </is>
      </c>
    </row>
    <row r="17">
      <c r="B17" s="8" t="inlineStr">
        <is>
          <t>Performance</t>
        </is>
      </c>
      <c r="C17" s="36" t="n">
        <v>0.08</v>
      </c>
      <c r="D17" s="37">
        <f>Certification!D46</f>
        <v/>
      </c>
      <c r="E17" s="38">
        <f>IF(D17="","",IF(D17&gt;=80,"Strong",IF(D17&gt;=60,"Building","Needs work")))</f>
        <v/>
      </c>
      <c r="F17" s="39" t="inlineStr">
        <is>
          <t>None</t>
        </is>
      </c>
    </row>
    <row r="18">
      <c r="B18" s="8" t="inlineStr">
        <is>
          <t>Accessibility and Interoperability</t>
        </is>
      </c>
      <c r="C18" s="36" t="n">
        <v>0.12</v>
      </c>
      <c r="D18" s="37">
        <f>Certification!D51</f>
        <v/>
      </c>
      <c r="E18" s="38">
        <f>IF(D18="","",IF(D18&gt;=80,"Strong",IF(D18&gt;=60,"Building","Needs work")))</f>
        <v/>
      </c>
      <c r="F18" s="39" t="inlineStr">
        <is>
          <t>None</t>
        </is>
      </c>
    </row>
    <row r="20">
      <c r="B20" s="31" t="inlineStr">
        <is>
          <t>Trust travels with the data. The level summarizes the product; the dimension percentages tell each consumer whether it can rely on the product for its own purpose.</t>
        </is>
      </c>
    </row>
    <row r="22">
      <c r="B22" s="32" t="inlineStr">
        <is>
          <t>© 2026 Anna Jibgashvili  |  Foundeon  |  www.foundeon.com  |  foundationaldataproducts.com</t>
        </is>
      </c>
    </row>
  </sheetData>
  <conditionalFormatting sqref="D11:D18">
    <cfRule type="dataBar" priority="1">
      <dataBar>
        <cfvo type="num" val="0"/>
        <cfvo type="num" val="100"/>
        <color rgb="000F6E7E"/>
      </dataBar>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I20"/>
  <sheetViews>
    <sheetView showGridLines="0" workbookViewId="0">
      <selection activeCell="A1" sqref="A1"/>
    </sheetView>
  </sheetViews>
  <sheetFormatPr baseColWidth="8" defaultRowHeight="15"/>
  <cols>
    <col width="2" customWidth="1" min="1" max="1"/>
    <col width="34" customWidth="1" min="2" max="2"/>
    <col width="12" customWidth="1" min="3" max="3"/>
    <col width="15" customWidth="1" min="4" max="4"/>
    <col width="15" customWidth="1" min="5" max="5"/>
    <col width="15" customWidth="1" min="6" max="6"/>
    <col width="15" customWidth="1" min="7" max="7"/>
    <col width="15" customWidth="1" min="8" max="8"/>
    <col width="15" customWidth="1" min="9" max="9"/>
  </cols>
  <sheetData>
    <row r="1">
      <c r="B1" s="1" t="inlineStr">
        <is>
          <t>Consumer Fit Check</t>
        </is>
      </c>
    </row>
    <row r="2">
      <c r="B2" s="33" t="inlineStr">
        <is>
          <t>Whether this product can be relied on for a specific purpose, below Gold or at Gold.</t>
        </is>
      </c>
    </row>
    <row r="3" ht="30" customHeight="1">
      <c r="B3" s="6" t="inlineStr">
        <is>
          <t>For each consumer, such as an AI agent, enter the minimum dimension percentage its purpose needs. Leave a cell blank where a dimension does not affect that purpose. The check compares the requirement with the product's trust profile.</t>
        </is>
      </c>
    </row>
    <row r="5" ht="30" customHeight="1">
      <c r="B5" s="40" t="inlineStr">
        <is>
          <t>Consumer</t>
        </is>
      </c>
      <c r="C5" s="40" t="inlineStr">
        <is>
          <t>Product %</t>
        </is>
      </c>
      <c r="D5" s="41" t="inlineStr">
        <is>
          <t>Consumer 1</t>
        </is>
      </c>
      <c r="F5" s="41" t="inlineStr">
        <is>
          <t>Consumer 2</t>
        </is>
      </c>
      <c r="H5" s="41" t="inlineStr">
        <is>
          <t>Consumer 3</t>
        </is>
      </c>
    </row>
    <row r="6" ht="28" customHeight="1">
      <c r="B6" s="4" t="inlineStr">
        <is>
          <t>Purpose</t>
        </is>
      </c>
      <c r="D6" s="42" t="n"/>
      <c r="F6" s="42" t="n"/>
      <c r="H6" s="42" t="n"/>
    </row>
    <row r="7">
      <c r="D7" s="43" t="inlineStr">
        <is>
          <t>Minimum needed</t>
        </is>
      </c>
      <c r="E7" s="43" t="inlineStr">
        <is>
          <t>Result</t>
        </is>
      </c>
      <c r="F7" s="43" t="inlineStr">
        <is>
          <t>Minimum needed</t>
        </is>
      </c>
      <c r="G7" s="43" t="inlineStr">
        <is>
          <t>Result</t>
        </is>
      </c>
      <c r="H7" s="43" t="inlineStr">
        <is>
          <t>Minimum needed</t>
        </is>
      </c>
      <c r="I7" s="43" t="inlineStr">
        <is>
          <t>Result</t>
        </is>
      </c>
    </row>
    <row r="8">
      <c r="B8" s="23" t="inlineStr">
        <is>
          <t>Data Quality</t>
        </is>
      </c>
      <c r="C8" s="44">
        <f>Certification!D16</f>
        <v/>
      </c>
      <c r="D8" s="25" t="n"/>
      <c r="E8" s="45">
        <f>IF(D8="","Not relevant",IF(C8="","",IF(C8&gt;=D8,"Meets","Below")))</f>
        <v/>
      </c>
      <c r="F8" s="25" t="n"/>
      <c r="G8" s="45">
        <f>IF(F8="","Not relevant",IF(C8="","",IF(C8&gt;=F8,"Meets","Below")))</f>
        <v/>
      </c>
      <c r="H8" s="25" t="n"/>
      <c r="I8" s="45">
        <f>IF(H8="","Not relevant",IF(C8="","",IF(C8&gt;=H8,"Meets","Below")))</f>
        <v/>
      </c>
    </row>
    <row r="9">
      <c r="B9" s="23" t="inlineStr">
        <is>
          <t>Semantic Coherence</t>
        </is>
      </c>
      <c r="C9" s="44">
        <f>Certification!D21</f>
        <v/>
      </c>
      <c r="D9" s="25" t="n"/>
      <c r="E9" s="45">
        <f>IF(D9="","Not relevant",IF(C9="","",IF(C9&gt;=D9,"Meets","Below")))</f>
        <v/>
      </c>
      <c r="F9" s="25" t="n"/>
      <c r="G9" s="45">
        <f>IF(F9="","Not relevant",IF(C9="","",IF(C9&gt;=F9,"Meets","Below")))</f>
        <v/>
      </c>
      <c r="H9" s="25" t="n"/>
      <c r="I9" s="45">
        <f>IF(H9="","Not relevant",IF(C9="","",IF(C9&gt;=H9,"Meets","Below")))</f>
        <v/>
      </c>
    </row>
    <row r="10">
      <c r="B10" s="23" t="inlineStr">
        <is>
          <t>Metadata Completeness</t>
        </is>
      </c>
      <c r="C10" s="44">
        <f>Certification!D26</f>
        <v/>
      </c>
      <c r="D10" s="25" t="n"/>
      <c r="E10" s="45">
        <f>IF(D10="","Not relevant",IF(C10="","",IF(C10&gt;=D10,"Meets","Below")))</f>
        <v/>
      </c>
      <c r="F10" s="25" t="n"/>
      <c r="G10" s="45">
        <f>IF(F10="","Not relevant",IF(C10="","",IF(C10&gt;=F10,"Meets","Below")))</f>
        <v/>
      </c>
      <c r="H10" s="25" t="n"/>
      <c r="I10" s="45">
        <f>IF(H10="","Not relevant",IF(C10="","",IF(C10&gt;=H10,"Meets","Below")))</f>
        <v/>
      </c>
    </row>
    <row r="11">
      <c r="B11" s="23" t="inlineStr">
        <is>
          <t>Lineage Transparency</t>
        </is>
      </c>
      <c r="C11" s="44">
        <f>Certification!D31</f>
        <v/>
      </c>
      <c r="D11" s="25" t="n"/>
      <c r="E11" s="45">
        <f>IF(D11="","Not relevant",IF(C11="","",IF(C11&gt;=D11,"Meets","Below")))</f>
        <v/>
      </c>
      <c r="F11" s="25" t="n"/>
      <c r="G11" s="45">
        <f>IF(F11="","Not relevant",IF(C11="","",IF(C11&gt;=F11,"Meets","Below")))</f>
        <v/>
      </c>
      <c r="H11" s="25" t="n"/>
      <c r="I11" s="45">
        <f>IF(H11="","Not relevant",IF(C11="","",IF(C11&gt;=H11,"Meets","Below")))</f>
        <v/>
      </c>
    </row>
    <row r="12">
      <c r="B12" s="23" t="inlineStr">
        <is>
          <t>Security and Compliance</t>
        </is>
      </c>
      <c r="C12" s="44">
        <f>Certification!D36</f>
        <v/>
      </c>
      <c r="D12" s="25" t="n"/>
      <c r="E12" s="45">
        <f>IF(D12="","Not relevant",IF(C12="","",IF(C12&gt;=D12,"Meets","Below")))</f>
        <v/>
      </c>
      <c r="F12" s="25" t="n"/>
      <c r="G12" s="45">
        <f>IF(F12="","Not relevant",IF(C12="","",IF(C12&gt;=F12,"Meets","Below")))</f>
        <v/>
      </c>
      <c r="H12" s="25" t="n"/>
      <c r="I12" s="45">
        <f>IF(H12="","Not relevant",IF(C12="","",IF(C12&gt;=H12,"Meets","Below")))</f>
        <v/>
      </c>
    </row>
    <row r="13">
      <c r="B13" s="23" t="inlineStr">
        <is>
          <t>Governance</t>
        </is>
      </c>
      <c r="C13" s="44">
        <f>Certification!D41</f>
        <v/>
      </c>
      <c r="D13" s="25" t="n"/>
      <c r="E13" s="45">
        <f>IF(D13="","Not relevant",IF(C13="","",IF(C13&gt;=D13,"Meets","Below")))</f>
        <v/>
      </c>
      <c r="F13" s="25" t="n"/>
      <c r="G13" s="45">
        <f>IF(F13="","Not relevant",IF(C13="","",IF(C13&gt;=F13,"Meets","Below")))</f>
        <v/>
      </c>
      <c r="H13" s="25" t="n"/>
      <c r="I13" s="45">
        <f>IF(H13="","Not relevant",IF(C13="","",IF(C13&gt;=H13,"Meets","Below")))</f>
        <v/>
      </c>
    </row>
    <row r="14">
      <c r="B14" s="23" t="inlineStr">
        <is>
          <t>Performance</t>
        </is>
      </c>
      <c r="C14" s="44">
        <f>Certification!D46</f>
        <v/>
      </c>
      <c r="D14" s="25" t="n"/>
      <c r="E14" s="45">
        <f>IF(D14="","Not relevant",IF(C14="","",IF(C14&gt;=D14,"Meets","Below")))</f>
        <v/>
      </c>
      <c r="F14" s="25" t="n"/>
      <c r="G14" s="45">
        <f>IF(F14="","Not relevant",IF(C14="","",IF(C14&gt;=F14,"Meets","Below")))</f>
        <v/>
      </c>
      <c r="H14" s="25" t="n"/>
      <c r="I14" s="45">
        <f>IF(H14="","Not relevant",IF(C14="","",IF(C14&gt;=H14,"Meets","Below")))</f>
        <v/>
      </c>
    </row>
    <row r="15">
      <c r="B15" s="23" t="inlineStr">
        <is>
          <t>Accessibility and Interoperability</t>
        </is>
      </c>
      <c r="C15" s="44">
        <f>Certification!D51</f>
        <v/>
      </c>
      <c r="D15" s="25" t="n"/>
      <c r="E15" s="45">
        <f>IF(D15="","Not relevant",IF(C15="","",IF(C15&gt;=D15,"Meets","Below")))</f>
        <v/>
      </c>
      <c r="F15" s="25" t="n"/>
      <c r="G15" s="45">
        <f>IF(F15="","Not relevant",IF(C15="","",IF(C15&gt;=F15,"Meets","Below")))</f>
        <v/>
      </c>
      <c r="H15" s="25" t="n"/>
      <c r="I15" s="45">
        <f>IF(H15="","Not relevant",IF(C15="","",IF(C15&gt;=H15,"Meets","Below")))</f>
        <v/>
      </c>
    </row>
    <row r="16">
      <c r="B16" s="14" t="inlineStr">
        <is>
          <t>Fit for this purpose</t>
        </is>
      </c>
      <c r="C16" s="20" t="n"/>
      <c r="D16" s="46">
        <f>IF(COUNTIF(E8:E15,"Below")&gt;0,"Not yet","Yes")</f>
        <v/>
      </c>
      <c r="E16" s="20" t="n"/>
      <c r="F16" s="46">
        <f>IF(COUNTIF(G8:G15,"Below")&gt;0,"Not yet","Yes")</f>
        <v/>
      </c>
      <c r="G16" s="20" t="n"/>
      <c r="H16" s="46">
        <f>IF(COUNTIF(I8:I15,"Below")&gt;0,"Not yet","Yes")</f>
        <v/>
      </c>
      <c r="I16" s="20" t="n"/>
    </row>
    <row r="18">
      <c r="B18" s="31" t="inlineStr">
        <is>
          <t>A consumer's minimums usually come from its own passport or requirements. The product does not need to be Gold for every use.</t>
        </is>
      </c>
    </row>
    <row r="20">
      <c r="B20" s="32" t="inlineStr">
        <is>
          <t>© 2026 Anna Jibgashvili  |  Foundeon  |  www.foundeon.com  |  foundationaldataproducts.com</t>
        </is>
      </c>
    </row>
  </sheetData>
  <mergeCells count="10">
    <mergeCell ref="D6:E6"/>
    <mergeCell ref="D16:E16"/>
    <mergeCell ref="H6:I6"/>
    <mergeCell ref="H16:I16"/>
    <mergeCell ref="F16:G16"/>
    <mergeCell ref="F5:G5"/>
    <mergeCell ref="D5:E5"/>
    <mergeCell ref="B3:I3"/>
    <mergeCell ref="F6:G6"/>
    <mergeCell ref="H5:I5"/>
  </mergeCells>
  <conditionalFormatting sqref="E8:I15">
    <cfRule type="cellIs" priority="1" operator="equal" dxfId="0">
      <formula>"Below"</formula>
    </cfRule>
    <cfRule type="cellIs" priority="2" operator="equal" dxfId="1">
      <formula>"Meets"</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B22"/>
  <sheetViews>
    <sheetView showGridLines="0" workbookViewId="0">
      <selection activeCell="A1" sqref="A1"/>
    </sheetView>
  </sheetViews>
  <sheetFormatPr baseColWidth="8" defaultRowHeight="15"/>
  <cols>
    <col width="2" customWidth="1" min="1" max="1"/>
    <col width="110" customWidth="1" min="2" max="2"/>
  </cols>
  <sheetData>
    <row r="2">
      <c r="B2" s="4" t="inlineStr">
        <is>
          <t>Weighted Score formula is:</t>
        </is>
      </c>
    </row>
    <row r="3">
      <c r="B3" s="4" t="inlineStr">
        <is>
          <t>=IF(ISBLANK(D[row]),"",D[row]*E[row])</t>
        </is>
      </c>
    </row>
    <row r="4">
      <c r="B4" s="47" t="inlineStr"/>
    </row>
    <row r="5">
      <c r="B5" s="4" t="inlineStr">
        <is>
          <t>What it does:</t>
        </is>
      </c>
    </row>
    <row r="6">
      <c r="B6" s="47" t="inlineStr">
        <is>
          <t>IF(ISBLANK(D[row]),"",...) checks whether the Score cell is blank. If blank, it shows nothing. If not, it calculates the weighted score.</t>
        </is>
      </c>
    </row>
    <row r="7">
      <c r="B7" s="47" t="inlineStr">
        <is>
          <t>D[row] = Score, 0 to 100</t>
        </is>
      </c>
    </row>
    <row r="8">
      <c r="B8" s="47" t="inlineStr">
        <is>
          <t>E[row] = Weight of the criterion. Each dimension's weight is split across its three criteria.</t>
        </is>
      </c>
    </row>
    <row r="9">
      <c r="B9" s="47" t="inlineStr"/>
    </row>
    <row r="10">
      <c r="B10" s="4" t="inlineStr">
        <is>
          <t>Example calculation:</t>
        </is>
      </c>
    </row>
    <row r="11">
      <c r="B11" s="47" t="inlineStr">
        <is>
          <t>Score = 85, Weight = 0.05 (one of three Data Quality criteria, 15% in total)</t>
        </is>
      </c>
    </row>
    <row r="12">
      <c r="B12" s="47" t="inlineStr">
        <is>
          <t>Formula: 85 × 0.05 = 4.25 points</t>
        </is>
      </c>
    </row>
    <row r="13">
      <c r="B13" s="47" t="inlineStr"/>
    </row>
    <row r="14">
      <c r="B14" s="4" t="inlineStr">
        <is>
          <t>Why no multiplier:</t>
        </is>
      </c>
    </row>
    <row r="15">
      <c r="B15" s="47" t="inlineStr">
        <is>
          <t>Weights add up to 1.0 (100%). Scores run from 0 to 100. A perfect score on every criterion gives 100 × 1.0 = 100.</t>
        </is>
      </c>
    </row>
    <row r="16">
      <c r="B16" s="47" t="inlineStr"/>
    </row>
    <row r="17">
      <c r="B17" s="4" t="inlineStr">
        <is>
          <t>So:</t>
        </is>
      </c>
    </row>
    <row r="18">
      <c r="B18" s="47" t="inlineStr">
        <is>
          <t>Certification percentage = sum of all weighted scores (0 to 100).</t>
        </is>
      </c>
    </row>
    <row r="19">
      <c r="B19" s="47" t="inlineStr">
        <is>
          <t>Dimension percentage = dimension subtotal ÷ dimension weight (0 to 100). This is the value shown on the passport.</t>
        </is>
      </c>
    </row>
    <row r="20">
      <c r="B20" s="47" t="inlineStr">
        <is>
          <t>Certification level = score band plus conditions: Tier checks, dimension floors, three-owner sign-off and portability for Gold.</t>
        </is>
      </c>
    </row>
    <row r="22">
      <c r="B22" s="32" t="inlineStr">
        <is>
          <t>© 2026 Anna Jibgashvili  |  Foundeon  |  www.foundeon.com  |  foundationaldataproducts.com</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2026-10-21T13:47:59Z</dcterms:created>
  <dcterms:modified xmlns:dcterms="http://purl.org/dc/terms/" xmlns:xsi="http://www.w3.org/2001/XMLSchema-instance" xsi:type="dcterms:W3CDTF">2026-10-21T13:47:59Z</dcterms:modified>
</cp:coreProperties>
</file>