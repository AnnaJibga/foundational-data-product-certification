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ertification" sheetId="1" state="visible" r:id="rId3"/>
    <sheet name="Trust Profile" sheetId="2" state="visible" r:id="rId4"/>
    <sheet name="Consumer Fit" sheetId="3" state="visible" r:id="rId5"/>
    <sheet name="Formula"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<sst xmlns="http://schemas.openxmlformats.org/spreadsheetml/2006/main" count="174" uniqueCount="125">
  <si>
    <t xml:space="preserve">Foundational Data Product™ Progressive Certification</t>
  </si>
  <si>
    <t xml:space="preserve">Foundeon</t>
  </si>
  <si>
    <t xml:space="preserve">© 2026 Anna Jibgashvili  |  Foundeon  |  www.foundeon.com  |  foundationaldataproducts.com</t>
  </si>
  <si>
    <t xml:space="preserve">Product name</t>
  </si>
  <si>
    <t xml:space="preserve">Product ID</t>
  </si>
  <si>
    <t xml:space="preserve">Assessed by (role)</t>
  </si>
  <si>
    <t xml:space="preserve">Assessment date</t>
  </si>
  <si>
    <t xml:space="preserve">Instructions: Score each criterion from 0 to 100 against current evidence, not intent. 0 means no evidence; 100 means fully evidenced and monitored. Enter scores in the blue column. Weighted scores, dimension percentages, the certification percentage and the certification level calculate automatically. Complete the condition questions below the table.</t>
  </si>
  <si>
    <t xml:space="preserve">Dimension</t>
  </si>
  <si>
    <t xml:space="preserve">Criterion</t>
  </si>
  <si>
    <t xml:space="preserve">Score (0-100)</t>
  </si>
  <si>
    <t xml:space="preserve">Weight</t>
  </si>
  <si>
    <t xml:space="preserve">Weighted Score</t>
  </si>
  <si>
    <t xml:space="preserve">Gap Analysis</t>
  </si>
  <si>
    <t xml:space="preserve">Data Quality</t>
  </si>
  <si>
    <t xml:space="preserve">Critical data elements meet completeness and correctness targets at the source and in the product.</t>
  </si>
  <si>
    <t xml:space="preserve">Data arrives within each source's contracted refresh frequency.</t>
  </si>
  <si>
    <t xml:space="preserve">Duplicates and cross-source conflicts are identified and resolved against a declared authoritative source per attribute.</t>
  </si>
  <si>
    <t xml:space="preserve">Data Quality subtotal</t>
  </si>
  <si>
    <t xml:space="preserve">Dimension percentage →</t>
  </si>
  <si>
    <t xml:space="preserve">Semantic Coherence</t>
  </si>
  <si>
    <t xml:space="preserve">Every critical data element carries an approved business definition.</t>
  </si>
  <si>
    <t xml:space="preserve">Definitions are reconciled with the enterprise-level meaning used by other products, with no open conflicts.</t>
  </si>
  <si>
    <t xml:space="preserve">Each concept resolves to a single column definition and name across the sources that feed the product.</t>
  </si>
  <si>
    <t xml:space="preserve">Semantic Coherence subtotal</t>
  </si>
  <si>
    <t xml:space="preserve">Metadata Completeness</t>
  </si>
  <si>
    <t xml:space="preserve">The product contract states purpose, scope, ownership, permitted use and prohibited use.</t>
  </si>
  <si>
    <t xml:space="preserve">Every field carries a description, data type and classification.</t>
  </si>
  <si>
    <t xml:space="preserve">The product is registered in the enterprise catalog with its passport.</t>
  </si>
  <si>
    <t xml:space="preserve">Metadata Completeness subtotal</t>
  </si>
  <si>
    <t xml:space="preserve">Lineage Transparency</t>
  </si>
  <si>
    <t xml:space="preserve">The origin of every attribute is documented.</t>
  </si>
  <si>
    <t xml:space="preserve">Transformations from source to product are documented and versioned.</t>
  </si>
  <si>
    <t xml:space="preserve">Lineage is traceable through to consumption and has been audited.</t>
  </si>
  <si>
    <t xml:space="preserve">Lineage Transparency subtotal</t>
  </si>
  <si>
    <t xml:space="preserve">Security and Compliance</t>
  </si>
  <si>
    <t xml:space="preserve">Access controls enforce the permitted uses stated in the contract.</t>
  </si>
  <si>
    <t xml:space="preserve">Sensitive data is masked, encrypted or minimized as policy requires.</t>
  </si>
  <si>
    <t xml:space="preserve">Applicable regulatory obligations are mapped to the product and evidenced.</t>
  </si>
  <si>
    <t xml:space="preserve">Security and Compliance subtotal</t>
  </si>
  <si>
    <t xml:space="preserve">Governance</t>
  </si>
  <si>
    <t xml:space="preserve">A named owner and steward, held as roles, hold explicit decision rights over the product.</t>
  </si>
  <si>
    <t xml:space="preserve">Changes to meaning, permitted use or authority follow approved change control, with each approval recorded.</t>
  </si>
  <si>
    <t xml:space="preserve">Incident and escalation paths are defined and have been tested.</t>
  </si>
  <si>
    <t xml:space="preserve">Governance subtotal</t>
  </si>
  <si>
    <t xml:space="preserve">Performance</t>
  </si>
  <si>
    <t xml:space="preserve">Freshness and latency meet the service levels in the contract.</t>
  </si>
  <si>
    <t xml:space="preserve">Availability meets its target.</t>
  </si>
  <si>
    <t xml:space="preserve">Monitoring and alerting cover failures, quality breaches and service-level breaches.</t>
  </si>
  <si>
    <t xml:space="preserve">Performance subtotal</t>
  </si>
  <si>
    <t xml:space="preserve">Accessibility and Interoperability</t>
  </si>
  <si>
    <t xml:space="preserve">Governed access methods are documented and tested.</t>
  </si>
  <si>
    <t xml:space="preserve">People and systems, including AI agents, can consume the product through a machine-readable contract and standard interfaces.</t>
  </si>
  <si>
    <t xml:space="preserve">The product joins to other Foundational Data Products™ through shared, governed identifiers.</t>
  </si>
  <si>
    <t xml:space="preserve">Accessibility and Interoperability subtotal</t>
  </si>
  <si>
    <t xml:space="preserve">CERTIFICATION PERCENTAGE</t>
  </si>
  <si>
    <t xml:space="preserve">CERTIFICATION CONDITIONS</t>
  </si>
  <si>
    <t xml:space="preserve">Tier 1 checks complete</t>
  </si>
  <si>
    <t xml:space="preserve">Source data validated: completeness, correctness, clarity (lineage) and timeliness against each source's contracted refresh.</t>
  </si>
  <si>
    <t xml:space="preserve">Tier 2 checks complete</t>
  </si>
  <si>
    <t xml:space="preserve">Clean and ready to consume: fields formatted, columns reconciled to single definitions and names, full data preserved, loaded into the data model.</t>
  </si>
  <si>
    <t xml:space="preserve">Three-owner sign-off complete</t>
  </si>
  <si>
    <t xml:space="preserve">Business owner, primary owner and data owner have signed off that the product meets the domain's requirements, with business rules applied.</t>
  </si>
  <si>
    <t xml:space="preserve">Portability condition met</t>
  </si>
  <si>
    <t xml:space="preserve">The contract, semantic definitions, certification record and passport exist in enterprise-owned form and export without loss of meaning.</t>
  </si>
  <si>
    <t xml:space="preserve">DIMENSION FLOORS</t>
  </si>
  <si>
    <t xml:space="preserve">Rule</t>
  </si>
  <si>
    <t xml:space="preserve">Applies to</t>
  </si>
  <si>
    <t xml:space="preserve">Required</t>
  </si>
  <si>
    <t xml:space="preserve">Status</t>
  </si>
  <si>
    <t xml:space="preserve">Silver</t>
  </si>
  <si>
    <t xml:space="preserve">Gold</t>
  </si>
  <si>
    <t xml:space="preserve">RESULT</t>
  </si>
  <si>
    <t xml:space="preserve">Score band</t>
  </si>
  <si>
    <t xml:space="preserve">Certification level</t>
  </si>
  <si>
    <t xml:space="preserve">Certification seal</t>
  </si>
  <si>
    <t xml:space="preserve">CERTIFICATION LEVELS</t>
  </si>
  <si>
    <t xml:space="preserve">Gold  ·  seal active</t>
  </si>
  <si>
    <t xml:space="preserve">Certification percentage 80 to 100, all Tier 1 and Tier 2 checks complete, three-owner sign-off, every dimension floor met, portability condition met. The product is ready to carry cross-domain dependencies, regulatory reporting and AI at enterprise scale.</t>
  </si>
  <si>
    <t xml:space="preserve">Certification percentage 60 or above, Tier 1 and Tier 2 checks complete, Security and Compliance at 60 or above. Clean and ready to consume; use it wherever its dimension profile meets the consumer's need.</t>
  </si>
  <si>
    <t xml:space="preserve">Bronze</t>
  </si>
  <si>
    <t xml:space="preserve">Certification percentage 40 or above, Tier 1 checks complete. Source data validated; trust is building.</t>
  </si>
  <si>
    <t xml:space="preserve">Registered</t>
  </si>
  <si>
    <t xml:space="preserve">Below 40, or Tier 1 checks not yet complete. The product is in the catalog with its passport and a visible trust profile.</t>
  </si>
  <si>
    <t xml:space="preserve">Read the dimension percentages first. A product below Gold stays usable wherever its weaker dimensions do not touch the consumer's purpose. See the Trust Profile and Consumer Fit tabs.</t>
  </si>
  <si>
    <t xml:space="preserve">© 2026 Anna Jibgashvili  |  Foundeon  |  www.foundeon.com  |  foundationaldataproducts.com  |  Licensed under CC BY-NC-ND 4.0</t>
  </si>
  <si>
    <t xml:space="preserve">Trust Profile</t>
  </si>
  <si>
    <t xml:space="preserve">What a consumer or agent sees when it opens the product's passport.</t>
  </si>
  <si>
    <t xml:space="preserve">Product</t>
  </si>
  <si>
    <t xml:space="preserve">Certification percentage</t>
  </si>
  <si>
    <t xml:space="preserve">Dimension %</t>
  </si>
  <si>
    <t xml:space="preserve">Trust signal</t>
  </si>
  <si>
    <t xml:space="preserve">Floor</t>
  </si>
  <si>
    <t xml:space="preserve">None</t>
  </si>
  <si>
    <t xml:space="preserve">70 Gold</t>
  </si>
  <si>
    <t xml:space="preserve">60 Silver · 80 Gold</t>
  </si>
  <si>
    <t xml:space="preserve">Trust travels with the data. The level summarizes the product; the dimension percentages tell each consumer whether it can rely on the product for its own purpose.</t>
  </si>
  <si>
    <t xml:space="preserve">Consumer Fit Check</t>
  </si>
  <si>
    <t xml:space="preserve">Whether this product can be relied on for a specific purpose, below Gold or at Gold.</t>
  </si>
  <si>
    <t xml:space="preserve">For each consumer, such as an AI agent, enter the minimum dimension percentage its purpose needs. Leave a cell blank where a dimension does not affect that purpose. The check compares the requirement with the product's trust profile.</t>
  </si>
  <si>
    <t xml:space="preserve">Consumer</t>
  </si>
  <si>
    <t xml:space="preserve">Product %</t>
  </si>
  <si>
    <t xml:space="preserve">Consumer 1</t>
  </si>
  <si>
    <t xml:space="preserve">Consumer 2</t>
  </si>
  <si>
    <t xml:space="preserve">Consumer 3</t>
  </si>
  <si>
    <t xml:space="preserve">Purpose</t>
  </si>
  <si>
    <t xml:space="preserve">Minimum needed</t>
  </si>
  <si>
    <t xml:space="preserve">Result</t>
  </si>
  <si>
    <t xml:space="preserve">Fit for this purpose</t>
  </si>
  <si>
    <t xml:space="preserve">A consumer's minimums usually come from its own passport or requirements. The product does not need to be Gold for every use.</t>
  </si>
  <si>
    <t xml:space="preserve">Weighted Score formula is:</t>
  </si>
  <si>
    <t xml:space="preserve">=IF(ISBLANK(D[row]),"",D[row]*E[row])</t>
  </si>
  <si>
    <t xml:space="preserve">What it does:</t>
  </si>
  <si>
    <t xml:space="preserve">IF(ISBLANK(D[row]),"",...) checks whether the Score cell is blank. If blank, it shows nothing. If not, it calculates the weighted score.</t>
  </si>
  <si>
    <t xml:space="preserve">D[row] = Score, 0 to 100</t>
  </si>
  <si>
    <t xml:space="preserve">E[row] = Weight of the criterion. Each dimension's weight is split across its three criteria.</t>
  </si>
  <si>
    <t xml:space="preserve">Example calculation:</t>
  </si>
  <si>
    <t xml:space="preserve">Score = 85, Weight = 0.05 (one of three Data Quality criteria, 15% in total)</t>
  </si>
  <si>
    <t xml:space="preserve">Formula: 85 × 0.05 = 4.25 points</t>
  </si>
  <si>
    <t xml:space="preserve">Why no multiplier:</t>
  </si>
  <si>
    <t xml:space="preserve">Weights add up to 1.0 (100%). Scores run from 0 to 100. A perfect score on every criterion gives 100 × 1.0 = 100.</t>
  </si>
  <si>
    <t xml:space="preserve">So:</t>
  </si>
  <si>
    <t xml:space="preserve">Certification percentage = sum of all weighted scores (0 to 100).</t>
  </si>
  <si>
    <t xml:space="preserve">Dimension percentage = dimension subtotal ÷ dimension weight (0 to 100). This is the value shown on the passport.</t>
  </si>
  <si>
    <t xml:space="preserve">Certification level = score band plus conditions: Tier checks, dimension floors, three-owner sign-off and portability for Gold.</t>
  </si>
</sst>
</file>

<file path=xl/styles.xml><?xml version="1.0" encoding="utf-8"?>
<styleSheet xmlns="http://schemas.openxmlformats.org/spreadsheetml/2006/main">
  <numFmts count="6">
    <numFmt numFmtId="164" formatCode="General"/>
    <numFmt numFmtId="165" formatCode="0.0000"/>
    <numFmt numFmtId="166" formatCode="0.00"/>
    <numFmt numFmtId="167" formatCode="0.0"/>
    <numFmt numFmtId="168" formatCode="General"/>
    <numFmt numFmtId="169" formatCode="0%"/>
  </numFmts>
  <fonts count="23">
    <font>
      <sz val="11"/>
      <color theme="1"/>
      <name val="Calibri"/>
      <family val="2"/>
      <charset val="1"/>
    </font>
    <font>
      <sz val="10"/>
      <name val="Arial"/>
      <family val="0"/>
    </font>
    <font>
      <sz val="10"/>
      <name val="Arial"/>
      <family val="0"/>
    </font>
    <font>
      <sz val="10"/>
      <name val="Arial"/>
      <family val="0"/>
    </font>
    <font>
      <b val="true"/>
      <sz val="18"/>
      <color rgb="FF0B1F3B"/>
      <name val="Georgia"/>
      <family val="0"/>
      <charset val="1"/>
    </font>
    <font>
      <b val="true"/>
      <sz val="10"/>
      <color rgb="FFC5A862"/>
      <name val="Arial"/>
      <family val="0"/>
      <charset val="1"/>
    </font>
    <font>
      <sz val="9"/>
      <color rgb="FF6F7478"/>
      <name val="Arial"/>
      <family val="0"/>
      <charset val="1"/>
    </font>
    <font>
      <b val="true"/>
      <sz val="10"/>
      <color rgb="FF0B1F3B"/>
      <name val="Arial"/>
      <family val="0"/>
      <charset val="1"/>
    </font>
    <font>
      <sz val="10"/>
      <color rgb="FF1F4E9E"/>
      <name val="Arial"/>
      <family val="0"/>
      <charset val="1"/>
    </font>
    <font>
      <b val="true"/>
      <sz val="10"/>
      <color rgb="FFFFFFFF"/>
      <name val="Arial"/>
      <family val="0"/>
      <charset val="1"/>
    </font>
    <font>
      <sz val="10"/>
      <color rgb="FF2A2F3A"/>
      <name val="Arial"/>
      <family val="0"/>
      <charset val="1"/>
    </font>
    <font>
      <b val="true"/>
      <sz val="10"/>
      <color rgb="FF1F4E9E"/>
      <name val="Arial"/>
      <family val="0"/>
      <charset val="1"/>
    </font>
    <font>
      <b val="true"/>
      <sz val="10"/>
      <color rgb="FF000000"/>
      <name val="Arial"/>
      <family val="0"/>
      <charset val="1"/>
    </font>
    <font>
      <b val="true"/>
      <sz val="11"/>
      <color rgb="FF0B1F3B"/>
      <name val="Arial"/>
      <family val="0"/>
      <charset val="1"/>
    </font>
    <font>
      <b val="true"/>
      <sz val="12"/>
      <color rgb="FF000000"/>
      <name val="Arial"/>
      <family val="0"/>
      <charset val="1"/>
    </font>
    <font>
      <sz val="9"/>
      <color rgb="FF2A2F3A"/>
      <name val="Arial"/>
      <family val="0"/>
      <charset val="1"/>
    </font>
    <font>
      <b val="true"/>
      <sz val="11"/>
      <color rgb="FF000000"/>
      <name val="Arial"/>
      <family val="0"/>
      <charset val="1"/>
    </font>
    <font>
      <i val="true"/>
      <sz val="9"/>
      <color rgb="FF6F7478"/>
      <name val="Arial"/>
      <family val="0"/>
      <charset val="1"/>
    </font>
    <font>
      <sz val="8"/>
      <color rgb="FF6F7478"/>
      <name val="Arial"/>
      <family val="0"/>
      <charset val="1"/>
    </font>
    <font>
      <sz val="11"/>
      <color rgb="FF44535A"/>
      <name val="Georgia"/>
      <family val="0"/>
      <charset val="1"/>
    </font>
    <font>
      <sz val="9"/>
      <color rgb="FF1F4E9E"/>
      <name val="Arial"/>
      <family val="0"/>
      <charset val="1"/>
    </font>
    <font>
      <b val="true"/>
      <sz val="9"/>
      <color rgb="FF0B1F3B"/>
      <name val="Arial"/>
      <family val="0"/>
      <charset val="1"/>
    </font>
    <font>
      <b val="true"/>
      <sz val="9"/>
      <color rgb="FF000000"/>
      <name val="Arial"/>
      <family val="0"/>
      <charset val="1"/>
    </font>
  </fonts>
  <fills count="5">
    <fill>
      <patternFill patternType="none"/>
    </fill>
    <fill>
      <patternFill patternType="gray125"/>
    </fill>
    <fill>
      <patternFill patternType="solid">
        <fgColor rgb="FF0B1F3B"/>
        <bgColor rgb="FF2A2F3A"/>
      </patternFill>
    </fill>
    <fill>
      <patternFill patternType="solid">
        <fgColor rgb="FFFAFBFD"/>
        <bgColor rgb="FFFFFFFF"/>
      </patternFill>
    </fill>
    <fill>
      <patternFill patternType="solid">
        <fgColor rgb="FFEEF2F7"/>
        <bgColor rgb="FFFAFBFD"/>
      </patternFill>
    </fill>
  </fills>
  <borders count="2">
    <border diagonalUp="false" diagonalDown="false">
      <left/>
      <right/>
      <top/>
      <bottom/>
      <diagonal/>
    </border>
    <border diagonalUp="false" diagonalDown="false">
      <left style="thin">
        <color rgb="FFE1E7EE"/>
      </left>
      <right style="thin">
        <color rgb="FFE1E7EE"/>
      </right>
      <top style="thin">
        <color rgb="FFE1E7EE"/>
      </top>
      <bottom style="thin">
        <color rgb="FFE1E7E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65" fontId="10" fillId="3" borderId="1" xfId="0" applyFont="true" applyBorder="true" applyAlignment="true" applyProtection="false">
      <alignment horizontal="center" vertical="center" textRotation="0" wrapText="false" indent="0" shrinkToFit="false"/>
      <protection locked="true" hidden="false"/>
    </xf>
    <xf numFmtId="166" fontId="12" fillId="3" borderId="1"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right" vertical="center" textRotation="0" wrapText="false" indent="0" shrinkToFit="false"/>
      <protection locked="true" hidden="false"/>
    </xf>
    <xf numFmtId="167" fontId="12" fillId="4" borderId="1" xfId="0" applyFont="true" applyBorder="true" applyAlignment="true" applyProtection="false">
      <alignment horizontal="center" vertical="center" textRotation="0" wrapText="false" indent="0" shrinkToFit="false"/>
      <protection locked="true" hidden="false"/>
    </xf>
    <xf numFmtId="166" fontId="12" fillId="4" borderId="1" xfId="0" applyFont="true" applyBorder="true" applyAlignment="true" applyProtection="false">
      <alignment horizontal="center" vertical="center"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7" fontId="14" fillId="4"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9" fontId="0" fillId="3" borderId="1" xfId="0" applyFont="false" applyBorder="true" applyAlignment="false" applyProtection="false">
      <alignment horizontal="general" vertical="bottom" textRotation="0" wrapText="false" indent="0" shrinkToFit="false"/>
      <protection locked="true" hidden="false"/>
    </xf>
    <xf numFmtId="167" fontId="12" fillId="3"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general" vertical="center" textRotation="0" wrapText="tru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center" textRotation="0" wrapText="false" indent="0" shrinkToFit="false"/>
      <protection locked="true" hidden="false"/>
    </xf>
    <xf numFmtId="164" fontId="16"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D14545"/>
      </font>
    </dxf>
    <dxf>
      <font>
        <b val="1"/>
        <color rgb="FF1F8A4C"/>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6F7478"/>
      <rgbColor rgb="FF9999FF"/>
      <rgbColor rgb="FFD14545"/>
      <rgbColor rgb="FFFAFBFD"/>
      <rgbColor rgb="FFEEF2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1E7EE"/>
      <rgbColor rgb="FFCCFFCC"/>
      <rgbColor rgb="FFFFFF99"/>
      <rgbColor rgb="FF99CCFF"/>
      <rgbColor rgb="FFFF99CC"/>
      <rgbColor rgb="FFCC99FF"/>
      <rgbColor rgb="FFFFCC99"/>
      <rgbColor rgb="FF3366FF"/>
      <rgbColor rgb="FF33CCCC"/>
      <rgbColor rgb="FF99CC00"/>
      <rgbColor rgb="FFFFCC00"/>
      <rgbColor rgb="FFFF9900"/>
      <rgbColor rgb="FFFF6600"/>
      <rgbColor rgb="FF44535A"/>
      <rgbColor rgb="FFC5A862"/>
      <rgbColor rgb="FF0B1F3B"/>
      <rgbColor rgb="FF1F8A4C"/>
      <rgbColor rgb="FF003300"/>
      <rgbColor rgb="FF333300"/>
      <rgbColor rgb="FF993300"/>
      <rgbColor rgb="FF993366"/>
      <rgbColor rgb="FF1F4E9E"/>
      <rgbColor rgb="FF2A2F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G8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64"/>
    <col collapsed="false" customWidth="true" hidden="false" outlineLevel="0" max="4" min="4" style="0" width="13"/>
    <col collapsed="false" customWidth="true" hidden="false" outlineLevel="0" max="5" min="5" style="0" width="10"/>
    <col collapsed="false" customWidth="true" hidden="false" outlineLevel="0" max="6" min="6" style="0" width="13"/>
    <col collapsed="false" customWidth="true" hidden="false" outlineLevel="0" max="7" min="7" style="0" width="16"/>
  </cols>
  <sheetData>
    <row r="1" customFormat="false" ht="27.75" hidden="false" customHeight="true" outlineLevel="0" collapsed="false">
      <c r="B1" s="1" t="s">
        <v>0</v>
      </c>
    </row>
    <row r="2" customFormat="false" ht="15" hidden="false" customHeight="false" outlineLevel="0" collapsed="false">
      <c r="B2" s="2" t="s">
        <v>1</v>
      </c>
    </row>
    <row r="3" customFormat="false" ht="15" hidden="false" customHeight="false" outlineLevel="0" collapsed="false">
      <c r="B3" s="3" t="s">
        <v>2</v>
      </c>
    </row>
    <row r="5" customFormat="false" ht="15" hidden="false" customHeight="false" outlineLevel="0" collapsed="false">
      <c r="B5" s="4" t="s">
        <v>3</v>
      </c>
      <c r="C5" s="5"/>
    </row>
    <row r="6" customFormat="false" ht="15" hidden="false" customHeight="false" outlineLevel="0" collapsed="false">
      <c r="B6" s="4" t="s">
        <v>4</v>
      </c>
      <c r="C6" s="5"/>
    </row>
    <row r="7" customFormat="false" ht="15" hidden="false" customHeight="false" outlineLevel="0" collapsed="false">
      <c r="B7" s="4" t="s">
        <v>5</v>
      </c>
      <c r="C7" s="5"/>
    </row>
    <row r="8" customFormat="false" ht="15" hidden="false" customHeight="false" outlineLevel="0" collapsed="false">
      <c r="B8" s="4" t="s">
        <v>6</v>
      </c>
      <c r="C8" s="5"/>
    </row>
    <row r="10" customFormat="false" ht="39.75" hidden="false" customHeight="true" outlineLevel="0" collapsed="false">
      <c r="B10" s="6" t="s">
        <v>7</v>
      </c>
      <c r="C10" s="6"/>
      <c r="D10" s="6"/>
      <c r="E10" s="6"/>
      <c r="F10" s="6"/>
      <c r="G10" s="6"/>
    </row>
    <row r="12" customFormat="false" ht="21.75" hidden="false" customHeight="true" outlineLevel="0" collapsed="false">
      <c r="B12" s="7" t="s">
        <v>8</v>
      </c>
      <c r="C12" s="7" t="s">
        <v>9</v>
      </c>
      <c r="D12" s="7" t="s">
        <v>10</v>
      </c>
      <c r="E12" s="7" t="s">
        <v>11</v>
      </c>
      <c r="F12" s="7" t="s">
        <v>12</v>
      </c>
      <c r="G12" s="7" t="s">
        <v>13</v>
      </c>
    </row>
    <row r="13" customFormat="false" ht="33.75" hidden="false" customHeight="true" outlineLevel="0" collapsed="false">
      <c r="B13" s="8" t="s">
        <v>14</v>
      </c>
      <c r="C13" s="9" t="s">
        <v>15</v>
      </c>
      <c r="D13" s="10"/>
      <c r="E13" s="11" t="n">
        <v>0.05</v>
      </c>
      <c r="F13" s="12" t="str">
        <f aca="false">IF(ISBLANK(D13),"",D13*E13)</f>
        <v/>
      </c>
      <c r="G13" s="13" t="str">
        <f aca="false">IF(ISBLANK(D13),"",IF(D13&gt;=80,"Strong",IF(D13&gt;=60,"Building","Needs Work")))</f>
        <v/>
      </c>
    </row>
    <row r="14" customFormat="false" ht="19.5" hidden="false" customHeight="true" outlineLevel="0" collapsed="false">
      <c r="B14" s="8"/>
      <c r="C14" s="9" t="s">
        <v>16</v>
      </c>
      <c r="D14" s="10"/>
      <c r="E14" s="11" t="n">
        <v>0.05</v>
      </c>
      <c r="F14" s="12" t="str">
        <f aca="false">IF(ISBLANK(D14),"",D14*E14)</f>
        <v/>
      </c>
      <c r="G14" s="13" t="str">
        <f aca="false">IF(ISBLANK(D14),"",IF(D14&gt;=80,"Strong",IF(D14&gt;=60,"Building","Needs Work")))</f>
        <v/>
      </c>
    </row>
    <row r="15" customFormat="false" ht="33.75" hidden="false" customHeight="true" outlineLevel="0" collapsed="false">
      <c r="B15" s="8"/>
      <c r="C15" s="9" t="s">
        <v>17</v>
      </c>
      <c r="D15" s="10"/>
      <c r="E15" s="11" t="n">
        <v>0.05</v>
      </c>
      <c r="F15" s="12" t="str">
        <f aca="false">IF(ISBLANK(D15),"",D15*E15)</f>
        <v/>
      </c>
      <c r="G15" s="13" t="str">
        <f aca="false">IF(ISBLANK(D15),"",IF(D15&gt;=80,"Strong",IF(D15&gt;=60,"Building","Needs Work")))</f>
        <v/>
      </c>
    </row>
    <row r="16" customFormat="false" ht="15" hidden="false" customHeight="false" outlineLevel="0" collapsed="false">
      <c r="B16" s="14" t="s">
        <v>18</v>
      </c>
      <c r="C16" s="15" t="s">
        <v>19</v>
      </c>
      <c r="D16" s="16" t="str">
        <f aca="false">IF(COUNT(D13:D15)=0,"",SUM(F13:F15)/SUM(E13:E15))</f>
        <v/>
      </c>
      <c r="E16" s="17" t="n">
        <f aca="false">SUM(E13:E15)</f>
        <v>0.15</v>
      </c>
      <c r="F16" s="17" t="str">
        <f aca="false">IF(COUNT(D13:D15)=0,"",SUM(F13:F15))</f>
        <v/>
      </c>
      <c r="G16" s="18" t="str">
        <f aca="false">IF(D16="","","of "&amp;TEXT(E16*100,"0")&amp;" points")</f>
        <v/>
      </c>
    </row>
    <row r="18" customFormat="false" ht="19.5" hidden="false" customHeight="true" outlineLevel="0" collapsed="false">
      <c r="B18" s="8" t="s">
        <v>20</v>
      </c>
      <c r="C18" s="9" t="s">
        <v>21</v>
      </c>
      <c r="D18" s="10"/>
      <c r="E18" s="11" t="n">
        <v>0.05</v>
      </c>
      <c r="F18" s="12" t="str">
        <f aca="false">IF(ISBLANK(D18),"",D18*E18)</f>
        <v/>
      </c>
      <c r="G18" s="13" t="str">
        <f aca="false">IF(ISBLANK(D18),"",IF(D18&gt;=80,"Strong",IF(D18&gt;=60,"Building","Needs Work")))</f>
        <v/>
      </c>
    </row>
    <row r="19" customFormat="false" ht="33.75" hidden="false" customHeight="true" outlineLevel="0" collapsed="false">
      <c r="B19" s="8"/>
      <c r="C19" s="9" t="s">
        <v>22</v>
      </c>
      <c r="D19" s="10"/>
      <c r="E19" s="11" t="n">
        <v>0.05</v>
      </c>
      <c r="F19" s="12" t="str">
        <f aca="false">IF(ISBLANK(D19),"",D19*E19)</f>
        <v/>
      </c>
      <c r="G19" s="13" t="str">
        <f aca="false">IF(ISBLANK(D19),"",IF(D19&gt;=80,"Strong",IF(D19&gt;=60,"Building","Needs Work")))</f>
        <v/>
      </c>
    </row>
    <row r="20" customFormat="false" ht="33.75" hidden="false" customHeight="true" outlineLevel="0" collapsed="false">
      <c r="B20" s="8"/>
      <c r="C20" s="9" t="s">
        <v>23</v>
      </c>
      <c r="D20" s="10"/>
      <c r="E20" s="11" t="n">
        <v>0.05</v>
      </c>
      <c r="F20" s="12" t="str">
        <f aca="false">IF(ISBLANK(D20),"",D20*E20)</f>
        <v/>
      </c>
      <c r="G20" s="13" t="str">
        <f aca="false">IF(ISBLANK(D20),"",IF(D20&gt;=80,"Strong",IF(D20&gt;=60,"Building","Needs Work")))</f>
        <v/>
      </c>
    </row>
    <row r="21" customFormat="false" ht="15" hidden="false" customHeight="false" outlineLevel="0" collapsed="false">
      <c r="B21" s="14" t="s">
        <v>24</v>
      </c>
      <c r="C21" s="15" t="s">
        <v>19</v>
      </c>
      <c r="D21" s="16" t="str">
        <f aca="false">IF(COUNT(D18:D20)=0,"",SUM(F18:F20)/SUM(E18:E20))</f>
        <v/>
      </c>
      <c r="E21" s="17" t="n">
        <f aca="false">SUM(E18:E20)</f>
        <v>0.15</v>
      </c>
      <c r="F21" s="17" t="str">
        <f aca="false">IF(COUNT(D18:D20)=0,"",SUM(F18:F20))</f>
        <v/>
      </c>
      <c r="G21" s="18" t="str">
        <f aca="false">IF(D21="","","of "&amp;TEXT(E21*100,"0")&amp;" points")</f>
        <v/>
      </c>
    </row>
    <row r="23" customFormat="false" ht="33.75" hidden="false" customHeight="true" outlineLevel="0" collapsed="false">
      <c r="B23" s="8" t="s">
        <v>25</v>
      </c>
      <c r="C23" s="9" t="s">
        <v>26</v>
      </c>
      <c r="D23" s="10"/>
      <c r="E23" s="11" t="n">
        <v>0.0334</v>
      </c>
      <c r="F23" s="12" t="str">
        <f aca="false">IF(ISBLANK(D23),"",D23*E23)</f>
        <v/>
      </c>
      <c r="G23" s="13" t="str">
        <f aca="false">IF(ISBLANK(D23),"",IF(D23&gt;=80,"Strong",IF(D23&gt;=60,"Building","Needs Work")))</f>
        <v/>
      </c>
    </row>
    <row r="24" customFormat="false" ht="19.5" hidden="false" customHeight="true" outlineLevel="0" collapsed="false">
      <c r="B24" s="8"/>
      <c r="C24" s="9" t="s">
        <v>27</v>
      </c>
      <c r="D24" s="10"/>
      <c r="E24" s="11" t="n">
        <v>0.0333</v>
      </c>
      <c r="F24" s="12" t="str">
        <f aca="false">IF(ISBLANK(D24),"",D24*E24)</f>
        <v/>
      </c>
      <c r="G24" s="13" t="str">
        <f aca="false">IF(ISBLANK(D24),"",IF(D24&gt;=80,"Strong",IF(D24&gt;=60,"Building","Needs Work")))</f>
        <v/>
      </c>
    </row>
    <row r="25" customFormat="false" ht="19.5" hidden="false" customHeight="true" outlineLevel="0" collapsed="false">
      <c r="B25" s="8"/>
      <c r="C25" s="9" t="s">
        <v>28</v>
      </c>
      <c r="D25" s="10"/>
      <c r="E25" s="11" t="n">
        <v>0.0333</v>
      </c>
      <c r="F25" s="12" t="str">
        <f aca="false">IF(ISBLANK(D25),"",D25*E25)</f>
        <v/>
      </c>
      <c r="G25" s="13" t="str">
        <f aca="false">IF(ISBLANK(D25),"",IF(D25&gt;=80,"Strong",IF(D25&gt;=60,"Building","Needs Work")))</f>
        <v/>
      </c>
    </row>
    <row r="26" customFormat="false" ht="15" hidden="false" customHeight="false" outlineLevel="0" collapsed="false">
      <c r="B26" s="14" t="s">
        <v>29</v>
      </c>
      <c r="C26" s="15" t="s">
        <v>19</v>
      </c>
      <c r="D26" s="16" t="str">
        <f aca="false">IF(COUNT(D23:D25)=0,"",SUM(F23:F25)/SUM(E23:E25))</f>
        <v/>
      </c>
      <c r="E26" s="17" t="n">
        <f aca="false">SUM(E23:E25)</f>
        <v>0.1</v>
      </c>
      <c r="F26" s="17" t="str">
        <f aca="false">IF(COUNT(D23:D25)=0,"",SUM(F23:F25))</f>
        <v/>
      </c>
      <c r="G26" s="18" t="str">
        <f aca="false">IF(D26="","","of "&amp;TEXT(E26*100,"0")&amp;" points")</f>
        <v/>
      </c>
    </row>
    <row r="28" customFormat="false" ht="19.5" hidden="false" customHeight="true" outlineLevel="0" collapsed="false">
      <c r="B28" s="8" t="s">
        <v>30</v>
      </c>
      <c r="C28" s="9" t="s">
        <v>31</v>
      </c>
      <c r="D28" s="10"/>
      <c r="E28" s="11" t="n">
        <v>0.05</v>
      </c>
      <c r="F28" s="12" t="str">
        <f aca="false">IF(ISBLANK(D28),"",D28*E28)</f>
        <v/>
      </c>
      <c r="G28" s="13" t="str">
        <f aca="false">IF(ISBLANK(D28),"",IF(D28&gt;=80,"Strong",IF(D28&gt;=60,"Building","Needs Work")))</f>
        <v/>
      </c>
    </row>
    <row r="29" customFormat="false" ht="19.5" hidden="false" customHeight="true" outlineLevel="0" collapsed="false">
      <c r="B29" s="8"/>
      <c r="C29" s="9" t="s">
        <v>32</v>
      </c>
      <c r="D29" s="10"/>
      <c r="E29" s="11" t="n">
        <v>0.05</v>
      </c>
      <c r="F29" s="12" t="str">
        <f aca="false">IF(ISBLANK(D29),"",D29*E29)</f>
        <v/>
      </c>
      <c r="G29" s="13" t="str">
        <f aca="false">IF(ISBLANK(D29),"",IF(D29&gt;=80,"Strong",IF(D29&gt;=60,"Building","Needs Work")))</f>
        <v/>
      </c>
    </row>
    <row r="30" customFormat="false" ht="19.5" hidden="false" customHeight="true" outlineLevel="0" collapsed="false">
      <c r="B30" s="8"/>
      <c r="C30" s="9" t="s">
        <v>33</v>
      </c>
      <c r="D30" s="10"/>
      <c r="E30" s="11" t="n">
        <v>0.05</v>
      </c>
      <c r="F30" s="12" t="str">
        <f aca="false">IF(ISBLANK(D30),"",D30*E30)</f>
        <v/>
      </c>
      <c r="G30" s="13" t="str">
        <f aca="false">IF(ISBLANK(D30),"",IF(D30&gt;=80,"Strong",IF(D30&gt;=60,"Building","Needs Work")))</f>
        <v/>
      </c>
    </row>
    <row r="31" customFormat="false" ht="15" hidden="false" customHeight="false" outlineLevel="0" collapsed="false">
      <c r="B31" s="14" t="s">
        <v>34</v>
      </c>
      <c r="C31" s="15" t="s">
        <v>19</v>
      </c>
      <c r="D31" s="16" t="str">
        <f aca="false">IF(COUNT(D28:D30)=0,"",SUM(F28:F30)/SUM(E28:E30))</f>
        <v/>
      </c>
      <c r="E31" s="17" t="n">
        <f aca="false">SUM(E28:E30)</f>
        <v>0.15</v>
      </c>
      <c r="F31" s="17" t="str">
        <f aca="false">IF(COUNT(D28:D30)=0,"",SUM(F28:F30))</f>
        <v/>
      </c>
      <c r="G31" s="18" t="str">
        <f aca="false">IF(D31="","","of "&amp;TEXT(E31*100,"0")&amp;" points")</f>
        <v/>
      </c>
    </row>
    <row r="33" customFormat="false" ht="19.5" hidden="false" customHeight="true" outlineLevel="0" collapsed="false">
      <c r="B33" s="8" t="s">
        <v>35</v>
      </c>
      <c r="C33" s="9" t="s">
        <v>36</v>
      </c>
      <c r="D33" s="10"/>
      <c r="E33" s="11" t="n">
        <v>0.05</v>
      </c>
      <c r="F33" s="12" t="str">
        <f aca="false">IF(ISBLANK(D33),"",D33*E33)</f>
        <v/>
      </c>
      <c r="G33" s="13" t="str">
        <f aca="false">IF(ISBLANK(D33),"",IF(D33&gt;=80,"Strong",IF(D33&gt;=60,"Building","Needs Work")))</f>
        <v/>
      </c>
    </row>
    <row r="34" customFormat="false" ht="19.5" hidden="false" customHeight="true" outlineLevel="0" collapsed="false">
      <c r="B34" s="8"/>
      <c r="C34" s="9" t="s">
        <v>37</v>
      </c>
      <c r="D34" s="10"/>
      <c r="E34" s="11" t="n">
        <v>0.05</v>
      </c>
      <c r="F34" s="12" t="str">
        <f aca="false">IF(ISBLANK(D34),"",D34*E34)</f>
        <v/>
      </c>
      <c r="G34" s="13" t="str">
        <f aca="false">IF(ISBLANK(D34),"",IF(D34&gt;=80,"Strong",IF(D34&gt;=60,"Building","Needs Work")))</f>
        <v/>
      </c>
    </row>
    <row r="35" customFormat="false" ht="33.75" hidden="false" customHeight="true" outlineLevel="0" collapsed="false">
      <c r="B35" s="8"/>
      <c r="C35" s="9" t="s">
        <v>38</v>
      </c>
      <c r="D35" s="10"/>
      <c r="E35" s="11" t="n">
        <v>0.05</v>
      </c>
      <c r="F35" s="12" t="str">
        <f aca="false">IF(ISBLANK(D35),"",D35*E35)</f>
        <v/>
      </c>
      <c r="G35" s="13" t="str">
        <f aca="false">IF(ISBLANK(D35),"",IF(D35&gt;=80,"Strong",IF(D35&gt;=60,"Building","Needs Work")))</f>
        <v/>
      </c>
    </row>
    <row r="36" customFormat="false" ht="15" hidden="false" customHeight="false" outlineLevel="0" collapsed="false">
      <c r="B36" s="14" t="s">
        <v>39</v>
      </c>
      <c r="C36" s="15" t="s">
        <v>19</v>
      </c>
      <c r="D36" s="16" t="str">
        <f aca="false">IF(COUNT(D33:D35)=0,"",SUM(F33:F35)/SUM(E33:E35))</f>
        <v/>
      </c>
      <c r="E36" s="17" t="n">
        <f aca="false">SUM(E33:E35)</f>
        <v>0.15</v>
      </c>
      <c r="F36" s="17" t="str">
        <f aca="false">IF(COUNT(D33:D35)=0,"",SUM(F33:F35))</f>
        <v/>
      </c>
      <c r="G36" s="18" t="str">
        <f aca="false">IF(D36="","","of "&amp;TEXT(E36*100,"0")&amp;" points")</f>
        <v/>
      </c>
    </row>
    <row r="38" customFormat="false" ht="33.75" hidden="false" customHeight="true" outlineLevel="0" collapsed="false">
      <c r="B38" s="8" t="s">
        <v>40</v>
      </c>
      <c r="C38" s="9" t="s">
        <v>41</v>
      </c>
      <c r="D38" s="10"/>
      <c r="E38" s="11" t="n">
        <v>0.0334</v>
      </c>
      <c r="F38" s="12" t="str">
        <f aca="false">IF(ISBLANK(D38),"",D38*E38)</f>
        <v/>
      </c>
      <c r="G38" s="13" t="str">
        <f aca="false">IF(ISBLANK(D38),"",IF(D38&gt;=80,"Strong",IF(D38&gt;=60,"Building","Needs Work")))</f>
        <v/>
      </c>
    </row>
    <row r="39" customFormat="false" ht="33.75" hidden="false" customHeight="true" outlineLevel="0" collapsed="false">
      <c r="B39" s="8"/>
      <c r="C39" s="9" t="s">
        <v>42</v>
      </c>
      <c r="D39" s="10"/>
      <c r="E39" s="11" t="n">
        <v>0.0333</v>
      </c>
      <c r="F39" s="12" t="str">
        <f aca="false">IF(ISBLANK(D39),"",D39*E39)</f>
        <v/>
      </c>
      <c r="G39" s="13" t="str">
        <f aca="false">IF(ISBLANK(D39),"",IF(D39&gt;=80,"Strong",IF(D39&gt;=60,"Building","Needs Work")))</f>
        <v/>
      </c>
    </row>
    <row r="40" customFormat="false" ht="19.5" hidden="false" customHeight="true" outlineLevel="0" collapsed="false">
      <c r="B40" s="8"/>
      <c r="C40" s="9" t="s">
        <v>43</v>
      </c>
      <c r="D40" s="10"/>
      <c r="E40" s="11" t="n">
        <v>0.0333</v>
      </c>
      <c r="F40" s="12" t="str">
        <f aca="false">IF(ISBLANK(D40),"",D40*E40)</f>
        <v/>
      </c>
      <c r="G40" s="13" t="str">
        <f aca="false">IF(ISBLANK(D40),"",IF(D40&gt;=80,"Strong",IF(D40&gt;=60,"Building","Needs Work")))</f>
        <v/>
      </c>
    </row>
    <row r="41" customFormat="false" ht="15" hidden="false" customHeight="false" outlineLevel="0" collapsed="false">
      <c r="B41" s="14" t="s">
        <v>44</v>
      </c>
      <c r="C41" s="15" t="s">
        <v>19</v>
      </c>
      <c r="D41" s="16" t="str">
        <f aca="false">IF(COUNT(D38:D40)=0,"",SUM(F38:F40)/SUM(E38:E40))</f>
        <v/>
      </c>
      <c r="E41" s="17" t="n">
        <f aca="false">SUM(E38:E40)</f>
        <v>0.1</v>
      </c>
      <c r="F41" s="17" t="str">
        <f aca="false">IF(COUNT(D38:D40)=0,"",SUM(F38:F40))</f>
        <v/>
      </c>
      <c r="G41" s="18" t="str">
        <f aca="false">IF(D41="","","of "&amp;TEXT(E41*100,"0")&amp;" points")</f>
        <v/>
      </c>
    </row>
    <row r="43" customFormat="false" ht="19.5" hidden="false" customHeight="true" outlineLevel="0" collapsed="false">
      <c r="B43" s="8" t="s">
        <v>45</v>
      </c>
      <c r="C43" s="9" t="s">
        <v>46</v>
      </c>
      <c r="D43" s="10"/>
      <c r="E43" s="11" t="n">
        <v>0.0267</v>
      </c>
      <c r="F43" s="12" t="str">
        <f aca="false">IF(ISBLANK(D43),"",D43*E43)</f>
        <v/>
      </c>
      <c r="G43" s="13" t="str">
        <f aca="false">IF(ISBLANK(D43),"",IF(D43&gt;=80,"Strong",IF(D43&gt;=60,"Building","Needs Work")))</f>
        <v/>
      </c>
    </row>
    <row r="44" customFormat="false" ht="19.5" hidden="false" customHeight="true" outlineLevel="0" collapsed="false">
      <c r="B44" s="8"/>
      <c r="C44" s="9" t="s">
        <v>47</v>
      </c>
      <c r="D44" s="10"/>
      <c r="E44" s="11" t="n">
        <v>0.0267</v>
      </c>
      <c r="F44" s="12" t="str">
        <f aca="false">IF(ISBLANK(D44),"",D44*E44)</f>
        <v/>
      </c>
      <c r="G44" s="13" t="str">
        <f aca="false">IF(ISBLANK(D44),"",IF(D44&gt;=80,"Strong",IF(D44&gt;=60,"Building","Needs Work")))</f>
        <v/>
      </c>
    </row>
    <row r="45" customFormat="false" ht="33.75" hidden="false" customHeight="true" outlineLevel="0" collapsed="false">
      <c r="B45" s="8"/>
      <c r="C45" s="9" t="s">
        <v>48</v>
      </c>
      <c r="D45" s="10"/>
      <c r="E45" s="11" t="n">
        <v>0.0266</v>
      </c>
      <c r="F45" s="12" t="str">
        <f aca="false">IF(ISBLANK(D45),"",D45*E45)</f>
        <v/>
      </c>
      <c r="G45" s="13" t="str">
        <f aca="false">IF(ISBLANK(D45),"",IF(D45&gt;=80,"Strong",IF(D45&gt;=60,"Building","Needs Work")))</f>
        <v/>
      </c>
    </row>
    <row r="46" customFormat="false" ht="15" hidden="false" customHeight="false" outlineLevel="0" collapsed="false">
      <c r="B46" s="14" t="s">
        <v>49</v>
      </c>
      <c r="C46" s="15" t="s">
        <v>19</v>
      </c>
      <c r="D46" s="16" t="str">
        <f aca="false">IF(COUNT(D43:D45)=0,"",SUM(F43:F45)/SUM(E43:E45))</f>
        <v/>
      </c>
      <c r="E46" s="17" t="n">
        <f aca="false">SUM(E43:E45)</f>
        <v>0.08</v>
      </c>
      <c r="F46" s="17" t="str">
        <f aca="false">IF(COUNT(D43:D45)=0,"",SUM(F43:F45))</f>
        <v/>
      </c>
      <c r="G46" s="18" t="str">
        <f aca="false">IF(D46="","","of "&amp;TEXT(E46*100,"0")&amp;" points")</f>
        <v/>
      </c>
    </row>
    <row r="48" customFormat="false" ht="19.5" hidden="false" customHeight="true" outlineLevel="0" collapsed="false">
      <c r="B48" s="8" t="s">
        <v>50</v>
      </c>
      <c r="C48" s="9" t="s">
        <v>51</v>
      </c>
      <c r="D48" s="10"/>
      <c r="E48" s="11" t="n">
        <v>0.04</v>
      </c>
      <c r="F48" s="12" t="str">
        <f aca="false">IF(ISBLANK(D48),"",D48*E48)</f>
        <v/>
      </c>
      <c r="G48" s="13" t="str">
        <f aca="false">IF(ISBLANK(D48),"",IF(D48&gt;=80,"Strong",IF(D48&gt;=60,"Building","Needs Work")))</f>
        <v/>
      </c>
    </row>
    <row r="49" customFormat="false" ht="33.75" hidden="false" customHeight="true" outlineLevel="0" collapsed="false">
      <c r="B49" s="8"/>
      <c r="C49" s="9" t="s">
        <v>52</v>
      </c>
      <c r="D49" s="10"/>
      <c r="E49" s="11" t="n">
        <v>0.04</v>
      </c>
      <c r="F49" s="12" t="str">
        <f aca="false">IF(ISBLANK(D49),"",D49*E49)</f>
        <v/>
      </c>
      <c r="G49" s="13" t="str">
        <f aca="false">IF(ISBLANK(D49),"",IF(D49&gt;=80,"Strong",IF(D49&gt;=60,"Building","Needs Work")))</f>
        <v/>
      </c>
    </row>
    <row r="50" customFormat="false" ht="33.75" hidden="false" customHeight="true" outlineLevel="0" collapsed="false">
      <c r="B50" s="8"/>
      <c r="C50" s="9" t="s">
        <v>53</v>
      </c>
      <c r="D50" s="10"/>
      <c r="E50" s="11" t="n">
        <v>0.04</v>
      </c>
      <c r="F50" s="12" t="str">
        <f aca="false">IF(ISBLANK(D50),"",D50*E50)</f>
        <v/>
      </c>
      <c r="G50" s="13" t="str">
        <f aca="false">IF(ISBLANK(D50),"",IF(D50&gt;=80,"Strong",IF(D50&gt;=60,"Building","Needs Work")))</f>
        <v/>
      </c>
    </row>
    <row r="51" customFormat="false" ht="15" hidden="false" customHeight="false" outlineLevel="0" collapsed="false">
      <c r="B51" s="14" t="s">
        <v>54</v>
      </c>
      <c r="C51" s="15" t="s">
        <v>19</v>
      </c>
      <c r="D51" s="16" t="str">
        <f aca="false">IF(COUNT(D48:D50)=0,"",SUM(F48:F50)/SUM(E48:E50))</f>
        <v/>
      </c>
      <c r="E51" s="17" t="n">
        <f aca="false">SUM(E48:E50)</f>
        <v>0.12</v>
      </c>
      <c r="F51" s="17" t="str">
        <f aca="false">IF(COUNT(D48:D50)=0,"",SUM(F48:F50))</f>
        <v/>
      </c>
      <c r="G51" s="18" t="str">
        <f aca="false">IF(D51="","","of "&amp;TEXT(E51*100,"0")&amp;" points")</f>
        <v/>
      </c>
    </row>
    <row r="53" customFormat="false" ht="21.75" hidden="false" customHeight="true" outlineLevel="0" collapsed="false">
      <c r="B53" s="19" t="s">
        <v>55</v>
      </c>
      <c r="C53" s="18" t="str">
        <f aca="false">(COUNT(D13:D15)+COUNT(D18:D20)+COUNT(D23:D25)+COUNT(D28:D30)+COUNT(D33:D35)+COUNT(D38:D40)+COUNT(D43:D45)+COUNT(D48:D50))&amp;" of 24 criteria scored"</f>
        <v>0 of 24 criteria scored</v>
      </c>
      <c r="D53" s="20"/>
      <c r="E53" s="20"/>
      <c r="F53" s="21" t="str">
        <f aca="false">IF((COUNT(D13:D15)+COUNT(D18:D20)+COUNT(D23:D25)+COUNT(D28:D30)+COUNT(D33:D35)+COUNT(D38:D40)+COUNT(D43:D45)+COUNT(D48:D50))=0,"",N(F16)+N(F21)+N(F26)+N(F31)+N(F36)+N(F41)+N(F46)+N(F51))</f>
        <v/>
      </c>
      <c r="G53" s="20"/>
    </row>
    <row r="55" customFormat="false" ht="15" hidden="false" customHeight="false" outlineLevel="0" collapsed="false">
      <c r="B55" s="22" t="s">
        <v>56</v>
      </c>
    </row>
    <row r="56" customFormat="false" ht="30" hidden="false" customHeight="true" outlineLevel="0" collapsed="false">
      <c r="B56" s="23" t="s">
        <v>57</v>
      </c>
      <c r="C56" s="24" t="s">
        <v>58</v>
      </c>
      <c r="D56" s="25"/>
    </row>
    <row r="57" customFormat="false" ht="30" hidden="false" customHeight="true" outlineLevel="0" collapsed="false">
      <c r="B57" s="23" t="s">
        <v>59</v>
      </c>
      <c r="C57" s="24" t="s">
        <v>60</v>
      </c>
      <c r="D57" s="25"/>
    </row>
    <row r="58" customFormat="false" ht="30" hidden="false" customHeight="true" outlineLevel="0" collapsed="false">
      <c r="B58" s="23" t="s">
        <v>61</v>
      </c>
      <c r="C58" s="24" t="s">
        <v>62</v>
      </c>
      <c r="D58" s="25"/>
    </row>
    <row r="59" customFormat="false" ht="30" hidden="false" customHeight="true" outlineLevel="0" collapsed="false">
      <c r="B59" s="23" t="s">
        <v>63</v>
      </c>
      <c r="C59" s="24" t="s">
        <v>64</v>
      </c>
      <c r="D59" s="25"/>
    </row>
    <row r="61" customFormat="false" ht="15" hidden="false" customHeight="false" outlineLevel="0" collapsed="false">
      <c r="B61" s="22" t="s">
        <v>65</v>
      </c>
    </row>
    <row r="62" customFormat="false" ht="15" hidden="false" customHeight="false" outlineLevel="0" collapsed="false">
      <c r="B62" s="7" t="s">
        <v>66</v>
      </c>
      <c r="C62" s="7" t="s">
        <v>67</v>
      </c>
      <c r="D62" s="7" t="s">
        <v>68</v>
      </c>
      <c r="E62" s="7" t="s">
        <v>69</v>
      </c>
    </row>
    <row r="63" customFormat="false" ht="15" hidden="false" customHeight="false" outlineLevel="0" collapsed="false">
      <c r="B63" s="23" t="s">
        <v>35</v>
      </c>
      <c r="C63" s="26" t="s">
        <v>70</v>
      </c>
      <c r="D63" s="27" t="n">
        <v>60</v>
      </c>
      <c r="E63" s="28" t="str">
        <f aca="false">IF(D36="","",IF(D36&gt;=60,"Met","Not met"))</f>
        <v/>
      </c>
    </row>
    <row r="64" customFormat="false" ht="15" hidden="false" customHeight="false" outlineLevel="0" collapsed="false">
      <c r="B64" s="23" t="s">
        <v>35</v>
      </c>
      <c r="C64" s="26" t="s">
        <v>71</v>
      </c>
      <c r="D64" s="27" t="n">
        <v>80</v>
      </c>
      <c r="E64" s="28" t="str">
        <f aca="false">IF(D36="","",IF(D36&gt;=80,"Met","Not met"))</f>
        <v/>
      </c>
    </row>
    <row r="65" customFormat="false" ht="15" hidden="false" customHeight="false" outlineLevel="0" collapsed="false">
      <c r="B65" s="23" t="s">
        <v>30</v>
      </c>
      <c r="C65" s="26" t="s">
        <v>71</v>
      </c>
      <c r="D65" s="27" t="n">
        <v>70</v>
      </c>
      <c r="E65" s="28" t="str">
        <f aca="false">IF(D31="","",IF(D31&gt;=70,"Met","Not met"))</f>
        <v/>
      </c>
    </row>
    <row r="66" customFormat="false" ht="15" hidden="false" customHeight="false" outlineLevel="0" collapsed="false">
      <c r="B66" s="23" t="s">
        <v>40</v>
      </c>
      <c r="C66" s="26" t="s">
        <v>71</v>
      </c>
      <c r="D66" s="27" t="n">
        <v>70</v>
      </c>
      <c r="E66" s="28" t="str">
        <f aca="false">IF(D41="","",IF(D41&gt;=70,"Met","Not met"))</f>
        <v/>
      </c>
    </row>
    <row r="67" customFormat="false" ht="15" hidden="false" customHeight="false" outlineLevel="0" collapsed="false">
      <c r="B67" s="23" t="s">
        <v>20</v>
      </c>
      <c r="C67" s="26" t="s">
        <v>71</v>
      </c>
      <c r="D67" s="27" t="n">
        <v>70</v>
      </c>
      <c r="E67" s="28" t="str">
        <f aca="false">IF(D21="","",IF(D21&gt;=70,"Met","Not met"))</f>
        <v/>
      </c>
    </row>
    <row r="69" customFormat="false" ht="15" hidden="false" customHeight="false" outlineLevel="0" collapsed="false">
      <c r="B69" s="22" t="s">
        <v>72</v>
      </c>
    </row>
    <row r="70" customFormat="false" ht="15" hidden="false" customHeight="false" outlineLevel="0" collapsed="false">
      <c r="B70" s="23" t="s">
        <v>73</v>
      </c>
      <c r="C70" s="29" t="str">
        <f aca="false">IF(F53="","",IF(F53&gt;=80,"Gold band (80-100)",IF(F53&gt;=60,"Silver band (60-79)",IF(F53&gt;=40,"Bronze band (40-59)","Registered (0-39)"))))</f>
        <v/>
      </c>
    </row>
    <row r="71" customFormat="false" ht="15" hidden="false" customHeight="false" outlineLevel="0" collapsed="false">
      <c r="B71" s="23" t="s">
        <v>74</v>
      </c>
      <c r="C71" s="29" t="str">
        <f aca="false">IF(F53="","",IF(AND(F53&gt;=80,D36&gt;=80,D31&gt;=70,D41&gt;=70,D21&gt;=70,D56="Yes",D57="Yes",D58="Yes",D59="Yes"),"Gold",IF(AND(F53&gt;=60,D36&gt;=60,D56="Yes",D57="Yes"),"Silver",IF(AND(F53&gt;=40,D56="Yes"),"Bronze","Registered"))))</f>
        <v/>
      </c>
    </row>
    <row r="72" customFormat="false" ht="15" hidden="false" customHeight="false" outlineLevel="0" collapsed="false">
      <c r="B72" s="23" t="s">
        <v>75</v>
      </c>
      <c r="C72" s="29" t="str">
        <f aca="false">IF(F53="","",IF(AND(F53&gt;=80,D36&gt;=80,D31&gt;=70,D41&gt;=70,D21&gt;=70,D56="Yes",D57="Yes",D58="Yes",D59="Yes"),"Active: certified at Gold","Not yet active: trust profile visible by dimension"))</f>
        <v/>
      </c>
    </row>
    <row r="74" customFormat="false" ht="15" hidden="false" customHeight="false" outlineLevel="0" collapsed="false">
      <c r="B74" s="22" t="s">
        <v>76</v>
      </c>
    </row>
    <row r="75" customFormat="false" ht="30" hidden="false" customHeight="true" outlineLevel="0" collapsed="false">
      <c r="B75" s="4" t="s">
        <v>77</v>
      </c>
      <c r="C75" s="30" t="s">
        <v>78</v>
      </c>
      <c r="D75" s="30"/>
      <c r="E75" s="30"/>
      <c r="F75" s="30"/>
      <c r="G75" s="30"/>
    </row>
    <row r="76" customFormat="false" ht="30" hidden="false" customHeight="true" outlineLevel="0" collapsed="false">
      <c r="B76" s="4" t="s">
        <v>70</v>
      </c>
      <c r="C76" s="30" t="s">
        <v>79</v>
      </c>
      <c r="D76" s="30"/>
      <c r="E76" s="30"/>
      <c r="F76" s="30"/>
      <c r="G76" s="30"/>
    </row>
    <row r="77" customFormat="false" ht="30" hidden="false" customHeight="true" outlineLevel="0" collapsed="false">
      <c r="B77" s="4" t="s">
        <v>80</v>
      </c>
      <c r="C77" s="30" t="s">
        <v>81</v>
      </c>
      <c r="D77" s="30"/>
      <c r="E77" s="30"/>
      <c r="F77" s="30"/>
      <c r="G77" s="30"/>
    </row>
    <row r="78" customFormat="false" ht="30" hidden="false" customHeight="true" outlineLevel="0" collapsed="false">
      <c r="B78" s="4" t="s">
        <v>82</v>
      </c>
      <c r="C78" s="30" t="s">
        <v>83</v>
      </c>
      <c r="D78" s="30"/>
      <c r="E78" s="30"/>
      <c r="F78" s="30"/>
      <c r="G78" s="30"/>
    </row>
    <row r="80" customFormat="false" ht="15" hidden="false" customHeight="false" outlineLevel="0" collapsed="false">
      <c r="B80" s="31" t="s">
        <v>84</v>
      </c>
    </row>
    <row r="82" customFormat="false" ht="15" hidden="false" customHeight="false" outlineLevel="0" collapsed="false">
      <c r="B82" s="32" t="s">
        <v>85</v>
      </c>
    </row>
  </sheetData>
  <mergeCells count="5">
    <mergeCell ref="B10:G10"/>
    <mergeCell ref="C75:G75"/>
    <mergeCell ref="C76:G76"/>
    <mergeCell ref="C77:G77"/>
    <mergeCell ref="C78:G78"/>
  </mergeCells>
  <dataValidations count="2">
    <dataValidation allowBlank="true" error="Enter a score from 0 to 100." errorStyle="stop" operator="between" showDropDown="false" showErrorMessage="false" showInputMessage="false" sqref="D13:D15 D18:D20 D23:D25 D28:D30 D33:D35 D38:D40 D43:D45 D48:D50" type="decimal">
      <formula1>0</formula1>
      <formula2>100</formula2>
    </dataValidation>
    <dataValidation allowBlank="true" errorStyle="stop" operator="between" showDropDown="false" showErrorMessage="false" showInputMessage="false" sqref="D56:D5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0"/>
    <col collapsed="false" customWidth="true" hidden="false" outlineLevel="0" max="4" min="4" style="0" width="16"/>
    <col collapsed="false" customWidth="true" hidden="false" outlineLevel="0" max="5" min="5" style="0" width="30"/>
    <col collapsed="false" customWidth="true" hidden="false" outlineLevel="0" max="6" min="6" style="0" width="14"/>
  </cols>
  <sheetData>
    <row r="1" customFormat="false" ht="22.05" hidden="false" customHeight="false" outlineLevel="0" collapsed="false">
      <c r="B1" s="1" t="s">
        <v>86</v>
      </c>
    </row>
    <row r="2" customFormat="false" ht="15" hidden="false" customHeight="false" outlineLevel="0" collapsed="false">
      <c r="B2" s="33" t="s">
        <v>87</v>
      </c>
    </row>
    <row r="3" customFormat="false" ht="15" hidden="false" customHeight="false" outlineLevel="0" collapsed="false">
      <c r="B3" s="3" t="s">
        <v>2</v>
      </c>
    </row>
    <row r="5" customFormat="false" ht="15" hidden="false" customHeight="false" outlineLevel="0" collapsed="false">
      <c r="B5" s="4" t="s">
        <v>88</v>
      </c>
      <c r="C5" s="34" t="n">
        <f aca="false">Certification!C5</f>
        <v>0</v>
      </c>
    </row>
    <row r="6" customFormat="false" ht="15" hidden="false" customHeight="false" outlineLevel="0" collapsed="false">
      <c r="B6" s="4" t="s">
        <v>89</v>
      </c>
      <c r="C6" s="35" t="str">
        <f aca="false">Certification!F53</f>
        <v/>
      </c>
    </row>
    <row r="7" customFormat="false" ht="15" hidden="false" customHeight="false" outlineLevel="0" collapsed="false">
      <c r="B7" s="4" t="s">
        <v>74</v>
      </c>
      <c r="C7" s="34" t="str">
        <f aca="false">Certification!C71</f>
        <v/>
      </c>
    </row>
    <row r="8" customFormat="false" ht="15" hidden="false" customHeight="false" outlineLevel="0" collapsed="false">
      <c r="B8" s="4" t="s">
        <v>75</v>
      </c>
      <c r="C8" s="34" t="str">
        <f aca="false">Certification!C72</f>
        <v/>
      </c>
    </row>
    <row r="10" customFormat="false" ht="15" hidden="false" customHeight="false" outlineLevel="0" collapsed="false">
      <c r="B10" s="7" t="s">
        <v>8</v>
      </c>
      <c r="C10" s="7" t="s">
        <v>11</v>
      </c>
      <c r="D10" s="7" t="s">
        <v>90</v>
      </c>
      <c r="E10" s="7" t="s">
        <v>91</v>
      </c>
      <c r="F10" s="7" t="s">
        <v>92</v>
      </c>
    </row>
    <row r="11" customFormat="false" ht="15" hidden="false" customHeight="false" outlineLevel="0" collapsed="false">
      <c r="B11" s="8" t="s">
        <v>14</v>
      </c>
      <c r="C11" s="36" t="n">
        <v>0.15</v>
      </c>
      <c r="D11" s="37" t="str">
        <f aca="false">Certification!D16</f>
        <v/>
      </c>
      <c r="E11" s="38" t="str">
        <f aca="false">IF(D11="","",IF(D11&gt;=80,"Strong",IF(D11&gt;=60,"Building","Needs work")))</f>
        <v/>
      </c>
      <c r="F11" s="39" t="s">
        <v>93</v>
      </c>
    </row>
    <row r="12" customFormat="false" ht="15" hidden="false" customHeight="false" outlineLevel="0" collapsed="false">
      <c r="B12" s="8" t="s">
        <v>20</v>
      </c>
      <c r="C12" s="36" t="n">
        <v>0.15</v>
      </c>
      <c r="D12" s="37" t="str">
        <f aca="false">Certification!D21</f>
        <v/>
      </c>
      <c r="E12" s="38" t="str">
        <f aca="false">IF(D12="","",IF(D12&gt;=80,"Strong",IF(D12&gt;=60,"Building","Needs work")))</f>
        <v/>
      </c>
      <c r="F12" s="39" t="s">
        <v>94</v>
      </c>
    </row>
    <row r="13" customFormat="false" ht="15" hidden="false" customHeight="false" outlineLevel="0" collapsed="false">
      <c r="B13" s="8" t="s">
        <v>25</v>
      </c>
      <c r="C13" s="36" t="n">
        <v>0.1</v>
      </c>
      <c r="D13" s="37" t="str">
        <f aca="false">Certification!D26</f>
        <v/>
      </c>
      <c r="E13" s="38" t="str">
        <f aca="false">IF(D13="","",IF(D13&gt;=80,"Strong",IF(D13&gt;=60,"Building","Needs work")))</f>
        <v/>
      </c>
      <c r="F13" s="39" t="s">
        <v>93</v>
      </c>
    </row>
    <row r="14" customFormat="false" ht="15" hidden="false" customHeight="false" outlineLevel="0" collapsed="false">
      <c r="B14" s="8" t="s">
        <v>30</v>
      </c>
      <c r="C14" s="36" t="n">
        <v>0.15</v>
      </c>
      <c r="D14" s="37" t="str">
        <f aca="false">Certification!D31</f>
        <v/>
      </c>
      <c r="E14" s="38" t="str">
        <f aca="false">IF(D14="","",IF(D14&gt;=80,"Strong",IF(D14&gt;=60,"Building","Needs work")))</f>
        <v/>
      </c>
      <c r="F14" s="39" t="s">
        <v>94</v>
      </c>
    </row>
    <row r="15" customFormat="false" ht="15" hidden="false" customHeight="false" outlineLevel="0" collapsed="false">
      <c r="B15" s="8" t="s">
        <v>35</v>
      </c>
      <c r="C15" s="36" t="n">
        <v>0.15</v>
      </c>
      <c r="D15" s="37" t="str">
        <f aca="false">Certification!D36</f>
        <v/>
      </c>
      <c r="E15" s="38" t="str">
        <f aca="false">IF(D15="","",IF(D15&gt;=80,"Strong",IF(D15&gt;=60,"Building","Needs work")))</f>
        <v/>
      </c>
      <c r="F15" s="39" t="s">
        <v>95</v>
      </c>
    </row>
    <row r="16" customFormat="false" ht="15" hidden="false" customHeight="false" outlineLevel="0" collapsed="false">
      <c r="B16" s="8" t="s">
        <v>40</v>
      </c>
      <c r="C16" s="36" t="n">
        <v>0.1</v>
      </c>
      <c r="D16" s="37" t="str">
        <f aca="false">Certification!D41</f>
        <v/>
      </c>
      <c r="E16" s="38" t="str">
        <f aca="false">IF(D16="","",IF(D16&gt;=80,"Strong",IF(D16&gt;=60,"Building","Needs work")))</f>
        <v/>
      </c>
      <c r="F16" s="39" t="s">
        <v>94</v>
      </c>
    </row>
    <row r="17" customFormat="false" ht="15" hidden="false" customHeight="false" outlineLevel="0" collapsed="false">
      <c r="B17" s="8" t="s">
        <v>45</v>
      </c>
      <c r="C17" s="36" t="n">
        <v>0.08</v>
      </c>
      <c r="D17" s="37" t="str">
        <f aca="false">Certification!D46</f>
        <v/>
      </c>
      <c r="E17" s="38" t="str">
        <f aca="false">IF(D17="","",IF(D17&gt;=80,"Strong",IF(D17&gt;=60,"Building","Needs work")))</f>
        <v/>
      </c>
      <c r="F17" s="39" t="s">
        <v>93</v>
      </c>
    </row>
    <row r="18" customFormat="false" ht="15" hidden="false" customHeight="false" outlineLevel="0" collapsed="false">
      <c r="B18" s="8" t="s">
        <v>50</v>
      </c>
      <c r="C18" s="36" t="n">
        <v>0.12</v>
      </c>
      <c r="D18" s="37" t="str">
        <f aca="false">Certification!D51</f>
        <v/>
      </c>
      <c r="E18" s="38" t="str">
        <f aca="false">IF(D18="","",IF(D18&gt;=80,"Strong",IF(D18&gt;=60,"Building","Needs work")))</f>
        <v/>
      </c>
      <c r="F18" s="39" t="s">
        <v>93</v>
      </c>
    </row>
    <row r="20" customFormat="false" ht="15" hidden="false" customHeight="false" outlineLevel="0" collapsed="false">
      <c r="B20" s="31" t="s">
        <v>96</v>
      </c>
    </row>
    <row r="22" customFormat="false" ht="15" hidden="false" customHeight="false" outlineLevel="0" collapsed="false">
      <c r="B22" s="32" t="s">
        <v>2</v>
      </c>
    </row>
  </sheetData>
  <conditionalFormatting sqref="D11:D18">
    <cfRule type="dataBar" priority="2">
      <dataBar showValue="1" minLength="10" maxLength="90">
        <cfvo type="num" val="0"/>
        <cfvo type="num" val="100"/>
        <color rgb="FF0F6E7E"/>
      </dataBar>
      <extLst>
        <ext xmlns:x14="http://schemas.microsoft.com/office/spreadsheetml/2009/9/main" uri="{B025F937-C7B1-47D3-B67F-A62EFF666E3E}">
          <x14:id>{96ADF4E5-A0F0-41AF-A9FB-3185DC74673A}</x14:id>
        </ext>
      </extLst>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96ADF4E5-A0F0-41AF-A9FB-3185DC74673A}">
            <x14:dataBar minLength="10" maxLength="90" axisPosition="none" gradient="true">
              <x14:cfvo type="num">
                <xm:f>0</xm:f>
              </x14:cfvo>
              <x14:cfvo type="num">
                <xm:f>100</xm:f>
              </x14:cfvo>
              <x14:negativeFillColor rgb="FF0F6E7E"/>
              <x14:axisColor rgb="FF000000"/>
            </x14:dataBar>
          </x14:cfRule>
          <xm:sqref>D11:D18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12"/>
    <col collapsed="false" customWidth="true" hidden="false" outlineLevel="0" max="9" min="4" style="0" width="15"/>
  </cols>
  <sheetData>
    <row r="1" customFormat="false" ht="22.05" hidden="false" customHeight="false" outlineLevel="0" collapsed="false">
      <c r="B1" s="1" t="s">
        <v>97</v>
      </c>
    </row>
    <row r="2" customFormat="false" ht="15" hidden="false" customHeight="false" outlineLevel="0" collapsed="false">
      <c r="B2" s="33" t="s">
        <v>98</v>
      </c>
    </row>
    <row r="3" customFormat="false" ht="30" hidden="false" customHeight="true" outlineLevel="0" collapsed="false">
      <c r="B3" s="6" t="s">
        <v>99</v>
      </c>
      <c r="C3" s="6"/>
      <c r="D3" s="6"/>
      <c r="E3" s="6"/>
      <c r="F3" s="6"/>
      <c r="G3" s="6"/>
      <c r="H3" s="6"/>
      <c r="I3" s="6"/>
    </row>
    <row r="5" customFormat="false" ht="30" hidden="false" customHeight="true" outlineLevel="0" collapsed="false">
      <c r="B5" s="40" t="s">
        <v>100</v>
      </c>
      <c r="C5" s="40" t="s">
        <v>101</v>
      </c>
      <c r="D5" s="41" t="s">
        <v>102</v>
      </c>
      <c r="E5" s="41"/>
      <c r="F5" s="41" t="s">
        <v>103</v>
      </c>
      <c r="G5" s="41"/>
      <c r="H5" s="41" t="s">
        <v>104</v>
      </c>
      <c r="I5" s="41"/>
    </row>
    <row r="6" customFormat="false" ht="27.75" hidden="false" customHeight="true" outlineLevel="0" collapsed="false">
      <c r="B6" s="4" t="s">
        <v>105</v>
      </c>
      <c r="D6" s="42"/>
      <c r="E6" s="42"/>
      <c r="F6" s="42"/>
      <c r="G6" s="42"/>
      <c r="H6" s="42"/>
      <c r="I6" s="42"/>
    </row>
    <row r="7" customFormat="false" ht="15" hidden="false" customHeight="false" outlineLevel="0" collapsed="false">
      <c r="D7" s="43" t="s">
        <v>106</v>
      </c>
      <c r="E7" s="43" t="s">
        <v>107</v>
      </c>
      <c r="F7" s="43" t="s">
        <v>106</v>
      </c>
      <c r="G7" s="43" t="s">
        <v>107</v>
      </c>
      <c r="H7" s="43" t="s">
        <v>106</v>
      </c>
      <c r="I7" s="43" t="s">
        <v>107</v>
      </c>
    </row>
    <row r="8" customFormat="false" ht="15" hidden="false" customHeight="false" outlineLevel="0" collapsed="false">
      <c r="B8" s="23" t="s">
        <v>14</v>
      </c>
      <c r="C8" s="44" t="str">
        <f aca="false">Certification!D16</f>
        <v/>
      </c>
      <c r="D8" s="25"/>
      <c r="E8" s="45" t="str">
        <f aca="false">IF(D8="","Not relevant",IF(C8="","",IF(C8&gt;=D8,"Meets","Below")))</f>
        <v>Not relevant</v>
      </c>
      <c r="F8" s="25"/>
      <c r="G8" s="45" t="str">
        <f aca="false">IF(F8="","Not relevant",IF(C8="","",IF(C8&gt;=F8,"Meets","Below")))</f>
        <v>Not relevant</v>
      </c>
      <c r="H8" s="25"/>
      <c r="I8" s="45" t="str">
        <f aca="false">IF(H8="","Not relevant",IF(C8="","",IF(C8&gt;=H8,"Meets","Below")))</f>
        <v>Not relevant</v>
      </c>
    </row>
    <row r="9" customFormat="false" ht="15" hidden="false" customHeight="false" outlineLevel="0" collapsed="false">
      <c r="B9" s="23" t="s">
        <v>20</v>
      </c>
      <c r="C9" s="44" t="str">
        <f aca="false">Certification!D21</f>
        <v/>
      </c>
      <c r="D9" s="25"/>
      <c r="E9" s="45" t="str">
        <f aca="false">IF(D9="","Not relevant",IF(C9="","",IF(C9&gt;=D9,"Meets","Below")))</f>
        <v>Not relevant</v>
      </c>
      <c r="F9" s="25"/>
      <c r="G9" s="45" t="str">
        <f aca="false">IF(F9="","Not relevant",IF(C9="","",IF(C9&gt;=F9,"Meets","Below")))</f>
        <v>Not relevant</v>
      </c>
      <c r="H9" s="25"/>
      <c r="I9" s="45" t="str">
        <f aca="false">IF(H9="","Not relevant",IF(C9="","",IF(C9&gt;=H9,"Meets","Below")))</f>
        <v>Not relevant</v>
      </c>
    </row>
    <row r="10" customFormat="false" ht="15" hidden="false" customHeight="false" outlineLevel="0" collapsed="false">
      <c r="B10" s="23" t="s">
        <v>25</v>
      </c>
      <c r="C10" s="44" t="str">
        <f aca="false">Certification!D26</f>
        <v/>
      </c>
      <c r="D10" s="25"/>
      <c r="E10" s="45" t="str">
        <f aca="false">IF(D10="","Not relevant",IF(C10="","",IF(C10&gt;=D10,"Meets","Below")))</f>
        <v>Not relevant</v>
      </c>
      <c r="F10" s="25"/>
      <c r="G10" s="45" t="str">
        <f aca="false">IF(F10="","Not relevant",IF(C10="","",IF(C10&gt;=F10,"Meets","Below")))</f>
        <v>Not relevant</v>
      </c>
      <c r="H10" s="25"/>
      <c r="I10" s="45" t="str">
        <f aca="false">IF(H10="","Not relevant",IF(C10="","",IF(C10&gt;=H10,"Meets","Below")))</f>
        <v>Not relevant</v>
      </c>
    </row>
    <row r="11" customFormat="false" ht="15" hidden="false" customHeight="false" outlineLevel="0" collapsed="false">
      <c r="B11" s="23" t="s">
        <v>30</v>
      </c>
      <c r="C11" s="44" t="str">
        <f aca="false">Certification!D31</f>
        <v/>
      </c>
      <c r="D11" s="25"/>
      <c r="E11" s="45" t="str">
        <f aca="false">IF(D11="","Not relevant",IF(C11="","",IF(C11&gt;=D11,"Meets","Below")))</f>
        <v>Not relevant</v>
      </c>
      <c r="F11" s="25"/>
      <c r="G11" s="45" t="str">
        <f aca="false">IF(F11="","Not relevant",IF(C11="","",IF(C11&gt;=F11,"Meets","Below")))</f>
        <v>Not relevant</v>
      </c>
      <c r="H11" s="25"/>
      <c r="I11" s="45" t="str">
        <f aca="false">IF(H11="","Not relevant",IF(C11="","",IF(C11&gt;=H11,"Meets","Below")))</f>
        <v>Not relevant</v>
      </c>
    </row>
    <row r="12" customFormat="false" ht="15" hidden="false" customHeight="false" outlineLevel="0" collapsed="false">
      <c r="B12" s="23" t="s">
        <v>35</v>
      </c>
      <c r="C12" s="44" t="str">
        <f aca="false">Certification!D36</f>
        <v/>
      </c>
      <c r="D12" s="25"/>
      <c r="E12" s="45" t="str">
        <f aca="false">IF(D12="","Not relevant",IF(C12="","",IF(C12&gt;=D12,"Meets","Below")))</f>
        <v>Not relevant</v>
      </c>
      <c r="F12" s="25"/>
      <c r="G12" s="45" t="str">
        <f aca="false">IF(F12="","Not relevant",IF(C12="","",IF(C12&gt;=F12,"Meets","Below")))</f>
        <v>Not relevant</v>
      </c>
      <c r="H12" s="25"/>
      <c r="I12" s="45" t="str">
        <f aca="false">IF(H12="","Not relevant",IF(C12="","",IF(C12&gt;=H12,"Meets","Below")))</f>
        <v>Not relevant</v>
      </c>
    </row>
    <row r="13" customFormat="false" ht="15" hidden="false" customHeight="false" outlineLevel="0" collapsed="false">
      <c r="B13" s="23" t="s">
        <v>40</v>
      </c>
      <c r="C13" s="44" t="str">
        <f aca="false">Certification!D41</f>
        <v/>
      </c>
      <c r="D13" s="25"/>
      <c r="E13" s="45" t="str">
        <f aca="false">IF(D13="","Not relevant",IF(C13="","",IF(C13&gt;=D13,"Meets","Below")))</f>
        <v>Not relevant</v>
      </c>
      <c r="F13" s="25"/>
      <c r="G13" s="45" t="str">
        <f aca="false">IF(F13="","Not relevant",IF(C13="","",IF(C13&gt;=F13,"Meets","Below")))</f>
        <v>Not relevant</v>
      </c>
      <c r="H13" s="25"/>
      <c r="I13" s="45" t="str">
        <f aca="false">IF(H13="","Not relevant",IF(C13="","",IF(C13&gt;=H13,"Meets","Below")))</f>
        <v>Not relevant</v>
      </c>
    </row>
    <row r="14" customFormat="false" ht="15" hidden="false" customHeight="false" outlineLevel="0" collapsed="false">
      <c r="B14" s="23" t="s">
        <v>45</v>
      </c>
      <c r="C14" s="44" t="str">
        <f aca="false">Certification!D46</f>
        <v/>
      </c>
      <c r="D14" s="25"/>
      <c r="E14" s="45" t="str">
        <f aca="false">IF(D14="","Not relevant",IF(C14="","",IF(C14&gt;=D14,"Meets","Below")))</f>
        <v>Not relevant</v>
      </c>
      <c r="F14" s="25"/>
      <c r="G14" s="45" t="str">
        <f aca="false">IF(F14="","Not relevant",IF(C14="","",IF(C14&gt;=F14,"Meets","Below")))</f>
        <v>Not relevant</v>
      </c>
      <c r="H14" s="25"/>
      <c r="I14" s="45" t="str">
        <f aca="false">IF(H14="","Not relevant",IF(C14="","",IF(C14&gt;=H14,"Meets","Below")))</f>
        <v>Not relevant</v>
      </c>
    </row>
    <row r="15" customFormat="false" ht="15" hidden="false" customHeight="false" outlineLevel="0" collapsed="false">
      <c r="B15" s="23" t="s">
        <v>50</v>
      </c>
      <c r="C15" s="44" t="str">
        <f aca="false">Certification!D51</f>
        <v/>
      </c>
      <c r="D15" s="25"/>
      <c r="E15" s="45" t="str">
        <f aca="false">IF(D15="","Not relevant",IF(C15="","",IF(C15&gt;=D15,"Meets","Below")))</f>
        <v>Not relevant</v>
      </c>
      <c r="F15" s="25"/>
      <c r="G15" s="45" t="str">
        <f aca="false">IF(F15="","Not relevant",IF(C15="","",IF(C15&gt;=F15,"Meets","Below")))</f>
        <v>Not relevant</v>
      </c>
      <c r="H15" s="25"/>
      <c r="I15" s="45" t="str">
        <f aca="false">IF(H15="","Not relevant",IF(C15="","",IF(C15&gt;=H15,"Meets","Below")))</f>
        <v>Not relevant</v>
      </c>
    </row>
    <row r="16" customFormat="false" ht="15" hidden="false" customHeight="false" outlineLevel="0" collapsed="false">
      <c r="B16" s="14" t="s">
        <v>108</v>
      </c>
      <c r="C16" s="20"/>
      <c r="D16" s="46" t="str">
        <f aca="false">IF(COUNTIF(E8:E15,"Below")&gt;0,"Not yet","Yes")</f>
        <v>Yes</v>
      </c>
      <c r="E16" s="46"/>
      <c r="F16" s="46" t="str">
        <f aca="false">IF(COUNTIF(G8:G15,"Below")&gt;0,"Not yet","Yes")</f>
        <v>Yes</v>
      </c>
      <c r="G16" s="46"/>
      <c r="H16" s="46" t="str">
        <f aca="false">IF(COUNTIF(I8:I15,"Below")&gt;0,"Not yet","Yes")</f>
        <v>Yes</v>
      </c>
      <c r="I16" s="46"/>
    </row>
    <row r="18" customFormat="false" ht="15" hidden="false" customHeight="false" outlineLevel="0" collapsed="false">
      <c r="B18" s="31" t="s">
        <v>109</v>
      </c>
    </row>
    <row r="20" customFormat="false" ht="15" hidden="false" customHeight="false" outlineLevel="0" collapsed="false">
      <c r="B20" s="32" t="s">
        <v>2</v>
      </c>
    </row>
  </sheetData>
  <mergeCells count="10">
    <mergeCell ref="B3:I3"/>
    <mergeCell ref="D5:E5"/>
    <mergeCell ref="F5:G5"/>
    <mergeCell ref="H5:I5"/>
    <mergeCell ref="D6:E6"/>
    <mergeCell ref="F6:G6"/>
    <mergeCell ref="H6:I6"/>
    <mergeCell ref="D16:E16"/>
    <mergeCell ref="F16:G16"/>
    <mergeCell ref="H16:I16"/>
  </mergeCells>
  <conditionalFormatting sqref="E8:I15">
    <cfRule type="cellIs" priority="2" operator="equal" aboveAverage="0" equalAverage="0" bottom="0" percent="0" rank="0" text="" dxfId="0">
      <formula>"Below"</formula>
    </cfRule>
    <cfRule type="cellIs" priority="3" operator="equal" aboveAverage="0" equalAverage="0" bottom="0" percent="0" rank="0" text="" dxfId="1">
      <formula>"Meets"</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10"/>
  </cols>
  <sheetData>
    <row r="2" customFormat="false" ht="15" hidden="false" customHeight="false" outlineLevel="0" collapsed="false">
      <c r="B2" s="4" t="s">
        <v>110</v>
      </c>
    </row>
    <row r="3" customFormat="false" ht="15" hidden="false" customHeight="false" outlineLevel="0" collapsed="false">
      <c r="B3" s="4" t="s">
        <v>111</v>
      </c>
    </row>
    <row r="4" customFormat="false" ht="15" hidden="false" customHeight="false" outlineLevel="0" collapsed="false">
      <c r="B4" s="47"/>
    </row>
    <row r="5" customFormat="false" ht="15" hidden="false" customHeight="false" outlineLevel="0" collapsed="false">
      <c r="B5" s="4" t="s">
        <v>112</v>
      </c>
    </row>
    <row r="6" customFormat="false" ht="15" hidden="false" customHeight="false" outlineLevel="0" collapsed="false">
      <c r="B6" s="47" t="s">
        <v>113</v>
      </c>
    </row>
    <row r="7" customFormat="false" ht="15" hidden="false" customHeight="false" outlineLevel="0" collapsed="false">
      <c r="B7" s="47" t="s">
        <v>114</v>
      </c>
    </row>
    <row r="8" customFormat="false" ht="15" hidden="false" customHeight="false" outlineLevel="0" collapsed="false">
      <c r="B8" s="47" t="s">
        <v>115</v>
      </c>
    </row>
    <row r="9" customFormat="false" ht="15" hidden="false" customHeight="false" outlineLevel="0" collapsed="false">
      <c r="B9" s="47"/>
    </row>
    <row r="10" customFormat="false" ht="15" hidden="false" customHeight="false" outlineLevel="0" collapsed="false">
      <c r="B10" s="4" t="s">
        <v>116</v>
      </c>
    </row>
    <row r="11" customFormat="false" ht="15" hidden="false" customHeight="false" outlineLevel="0" collapsed="false">
      <c r="B11" s="47" t="s">
        <v>117</v>
      </c>
    </row>
    <row r="12" customFormat="false" ht="15" hidden="false" customHeight="false" outlineLevel="0" collapsed="false">
      <c r="B12" s="47" t="s">
        <v>118</v>
      </c>
    </row>
    <row r="13" customFormat="false" ht="15" hidden="false" customHeight="false" outlineLevel="0" collapsed="false">
      <c r="B13" s="47"/>
    </row>
    <row r="14" customFormat="false" ht="15" hidden="false" customHeight="false" outlineLevel="0" collapsed="false">
      <c r="B14" s="4" t="s">
        <v>119</v>
      </c>
    </row>
    <row r="15" customFormat="false" ht="15" hidden="false" customHeight="false" outlineLevel="0" collapsed="false">
      <c r="B15" s="47" t="s">
        <v>120</v>
      </c>
    </row>
    <row r="16" customFormat="false" ht="15" hidden="false" customHeight="false" outlineLevel="0" collapsed="false">
      <c r="B16" s="47"/>
    </row>
    <row r="17" customFormat="false" ht="15" hidden="false" customHeight="false" outlineLevel="0" collapsed="false">
      <c r="B17" s="4" t="s">
        <v>121</v>
      </c>
    </row>
    <row r="18" customFormat="false" ht="15" hidden="false" customHeight="false" outlineLevel="0" collapsed="false">
      <c r="B18" s="47" t="s">
        <v>122</v>
      </c>
    </row>
    <row r="19" customFormat="false" ht="15" hidden="false" customHeight="false" outlineLevel="0" collapsed="false">
      <c r="B19" s="47" t="s">
        <v>123</v>
      </c>
    </row>
    <row r="20" customFormat="false" ht="15" hidden="false" customHeight="false" outlineLevel="0" collapsed="false">
      <c r="B20" s="47" t="s">
        <v>124</v>
      </c>
    </row>
    <row r="22" customFormat="false" ht="15" hidden="false" customHeight="false" outlineLevel="0" collapsed="false">
      <c r="B22" s="32" t="s">
        <v>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2026-10-19T16:39:19Z</dcterms:created>
  <dc:creator>openpyxl</dc:creator>
  <dc:description/>
  <dc:language>en-US</dc:language>
  <cp:lastModifiedBy/>
  <dcterms:modified xsi:type="dcterms:W3CDTF">2026-10-19T16:39:20Z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